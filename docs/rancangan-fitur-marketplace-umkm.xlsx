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Ringkasan QA" sheetId="2" state="visible" r:id="rId4"/>
    <sheet name="Daftar Fitur" sheetId="3" state="visible" r:id="rId5"/>
    <sheet name="Catatan Pemasangan" sheetId="4" state="visible" r:id="rId6"/>
    <sheet name="Uji QA" sheetId="5" state="visible" r:id="rId7"/>
    <sheet name="Laporan Bug" sheetId="6" state="visible" r:id="rId8"/>
  </sheets>
  <definedNames>
    <definedName function="false" hidden="true" localSheetId="2" name="_xlnm._FilterDatabase" vbProcedure="false">'Daftar Fitur'!$A$1:$M$98</definedName>
    <definedName function="false" hidden="true" localSheetId="4" name="_xlnm._FilterDatabase" vbProcedure="false">'Uji QA'!$A$1:$P$129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<sst xmlns="http://schemas.openxmlformats.org/spreadsheetml/2006/main" count="2194" uniqueCount="1203">
  <si>
    <t xml:space="preserve">Rancangan Fitur Marketplace UMKM — Gap Analysis Repository myumkm</t>
  </si>
  <si>
    <t xml:space="preserve">Status dihitung otomatis dari sheet "Daftar Fitur" (kolom E). Ubah status di sana, ringkasan ikut berubah.</t>
  </si>
  <si>
    <t xml:space="preserve">Kelompok Pengguna</t>
  </si>
  <si>
    <t xml:space="preserve">Total Fitur</t>
  </si>
  <si>
    <t xml:space="preserve">✅ Ada</t>
  </si>
  <si>
    <t xml:space="preserve">❌ Belum</t>
  </si>
  <si>
    <t xml:space="preserve">% Selesai</t>
  </si>
  <si>
    <t xml:space="preserve">⭐ Pembeda</t>
  </si>
  <si>
    <t xml:space="preserve">⭐ Pembeda yang Belum Ada</t>
  </si>
  <si>
    <t xml:space="preserve">🧓 Low-tech</t>
  </si>
  <si>
    <t xml:space="preserve">Pembeli</t>
  </si>
  <si>
    <t xml:space="preserve">Penjual / Pelaku UMKM</t>
  </si>
  <si>
    <t xml:space="preserve">Admin / Pengelola Platform</t>
  </si>
  <si>
    <t xml:space="preserve">TOTAL</t>
  </si>
  <si>
    <t xml:space="preserve">Keterangan</t>
  </si>
  <si>
    <t xml:space="preserve">Ada</t>
  </si>
  <si>
    <t xml:space="preserve">Fitur inti sudah ada di kode repo (catatan menjelaskan batasan bila sebagian).</t>
  </si>
  <si>
    <t xml:space="preserve">Belum</t>
  </si>
  <si>
    <t xml:space="preserve">Fitur belum ada di repo.</t>
  </si>
  <si>
    <t xml:space="preserve">Fitur yang membedakan dari marketplace besar.</t>
  </si>
  <si>
    <t xml:space="preserve">Dirancang ramah UMKM/pengguna gagap teknologi.</t>
  </si>
  <si>
    <t xml:space="preserve">Kolom Prioritas</t>
  </si>
  <si>
    <t xml:space="preserve">Sel kuning di "Daftar Fitur" kolom K: diisi tim (dropdown P1–P4).</t>
  </si>
  <si>
    <t xml:space="preserve">Sumber</t>
  </si>
  <si>
    <t xml:space="preserve">Analisis kode repo xaralien/myumkm (CodeIgniter 3), per 13 Okt 2026, setelah semua fitur dibangun &amp; diuji di lingkungan lokal.</t>
  </si>
  <si>
    <t xml:space="preserve">Ringkasan Pengujian QA — Marketplace UMKM</t>
  </si>
  <si>
    <t xml:space="preserve">Dihitung otomatis dari sheet "Uji QA" (kolom Status) dan "Laporan Bug". Isi hasil uji di sana, angka di sini ikut berubah.</t>
  </si>
  <si>
    <t xml:space="preserve">Kelompok</t>
  </si>
  <si>
    <t xml:space="preserve">Total Kasus</t>
  </si>
  <si>
    <t xml:space="preserve">Belum diuji</t>
  </si>
  <si>
    <t xml:space="preserve">Lulus</t>
  </si>
  <si>
    <t xml:space="preserve">Gagal</t>
  </si>
  <si>
    <t xml:space="preserve">Terblokir</t>
  </si>
  <si>
    <t xml:space="preserve">% Sudah Diuji</t>
  </si>
  <si>
    <t xml:space="preserve">% Lulus (dari yang diuji)</t>
  </si>
  <si>
    <t xml:space="preserve">Prioritas</t>
  </si>
  <si>
    <t xml:space="preserve">Tinggi</t>
  </si>
  <si>
    <t xml:space="preserve">Sedang</t>
  </si>
  <si>
    <t xml:space="preserve">Rendah</t>
  </si>
  <si>
    <t xml:space="preserve">Jenis Uji</t>
  </si>
  <si>
    <t xml:space="preserve">Positif</t>
  </si>
  <si>
    <t xml:space="preserve">Negatif</t>
  </si>
  <si>
    <t xml:space="preserve">Batas</t>
  </si>
  <si>
    <t xml:space="preserve">Keamanan</t>
  </si>
  <si>
    <t xml:space="preserve">Kesiapan Rilis</t>
  </si>
  <si>
    <t xml:space="preserve">Kasus prioritas Tinggi yang Gagal</t>
  </si>
  <si>
    <t xml:space="preserve">Kasus prioritas Tinggi belum diuji</t>
  </si>
  <si>
    <t xml:space="preserve">Bug Kritis/Tinggi yang belum ditutup</t>
  </si>
  <si>
    <t xml:space="preserve">Total bug dilaporkan</t>
  </si>
  <si>
    <t xml:space="preserve">Keputusan</t>
  </si>
  <si>
    <t xml:space="preserve">Cara Mengisi</t>
  </si>
  <si>
    <t xml:space="preserve">Yang diisi</t>
  </si>
  <si>
    <t xml:space="preserve">Hanya sel KUNING: "Uji QA" kolom L–P dan "Laporan Bug" kolom B–N. Kolom lain berisi rancangan uji &amp; rumus - jangan diubah.</t>
  </si>
  <si>
    <t xml:space="preserve">Status</t>
  </si>
  <si>
    <t xml:space="preserve">Belum diuji → Lulus / Gagal / Terblokir (prasyarat tidak bisa dipenuhi, mis. kunci API belum ada).</t>
  </si>
  <si>
    <t xml:space="preserve">Kalau Gagal</t>
  </si>
  <si>
    <t xml:space="preserve">Tulis yang terjadi di "Hasil Aktual", buat baris di "Laporan Bug", lalu tulis ID bug-nya (mis. BUG-001) di kolom P "Uji QA".</t>
  </si>
  <si>
    <t xml:space="preserve">Contoh baris Gagal</t>
  </si>
  <si>
    <t xml:space="preserve">Hasil Aktual: "Ongkir tetap Rp10.000 walau subtotal Rp100.000" · Status: Gagal · Penguji: Rina · Tanggal: 14/10/2026 · ID Bug: BUG-001</t>
  </si>
  <si>
    <t xml:space="preserve">Contoh bug</t>
  </si>
  <si>
    <t xml:space="preserve">BUG-001 · TC-PJL-0xx · "Gratis ongkir tidak berlaku tepat di batas minimal" · Keparahan: Sedang · Perangkat: Chrome Android 14 · Status: Baru</t>
  </si>
  <si>
    <t xml:space="preserve">Keparahan</t>
  </si>
  <si>
    <t xml:space="preserve">Kritis = uang/data salah atau situs mati · Tinggi = fitur utama tidak bisa dipakai · Sedang = ada jalan lain · Rendah = tampilan/ejaan.</t>
  </si>
  <si>
    <t xml:space="preserve">Uji ulang</t>
  </si>
  <si>
    <t xml:space="preserve">Setelah bug berstatus "Siap diuji ulang", jalankan lagi kasusnya; bila lolos ubah ke Lulus dan tutup bug-nya.</t>
  </si>
  <si>
    <t xml:space="preserve">Lingkungan Uji (siapkan sebelum mulai)</t>
  </si>
  <si>
    <t xml:space="preserve">1. Server staging terpisah dari produksi, database hasil migrasi database/15 s.d. 32 (cadangkan dulu).</t>
  </si>
  <si>
    <t xml:space="preserve">2. Duitku mode SANDBOX (jangan memakai kunci produksi saat menguji pembayaran).</t>
  </si>
  <si>
    <t xml:space="preserve">3. config/surat.php berisi SMTP uji (mis. Mailtrap) supaya email tidak sampai ke pengguna sungguhan.</t>
  </si>
  <si>
    <t xml:space="preserve">4. Api_Whatsapp.php terpasang dan mengirim ke nomor uji; kunci agregator ekspedisi mode uji (Admin &gt; Pengaturan).</t>
  </si>
  <si>
    <t xml:space="preserve">5. Akun uji: 1 admin, 1 pendamping, 2 penjual (toko di 2 kota berbeda), 2 pembeli, + uji sebagai tamu.</t>
  </si>
  <si>
    <t xml:space="preserve">6. Perangkat: Chrome desktop + 1 HP Android (layar 360 px). Uji PWA di HP lewat HTTPS.</t>
  </si>
  <si>
    <t xml:space="preserve">No</t>
  </si>
  <si>
    <t xml:space="preserve">Sub-kategori</t>
  </si>
  <si>
    <t xml:space="preserve">Fitur</t>
  </si>
  <si>
    <t xml:space="preserve">Status di Repo</t>
  </si>
  <si>
    <t xml:space="preserve">Pembeda (⭐)</t>
  </si>
  <si>
    <t xml:space="preserve">Low-tech Friendly (🧓)</t>
  </si>
  <si>
    <t xml:space="preserve">Pain Point</t>
  </si>
  <si>
    <t xml:space="preserve">Fungsi Utama</t>
  </si>
  <si>
    <t xml:space="preserve">Bukti di Repo / Catatan</t>
  </si>
  <si>
    <t xml:space="preserve">Jumlah Kasus Uji</t>
  </si>
  <si>
    <t xml:space="preserve">Kasus Lulus</t>
  </si>
  <si>
    <t xml:space="preserve">Akun &amp; Akses</t>
  </si>
  <si>
    <t xml:space="preserve">Daftar &amp; masuk akun</t>
  </si>
  <si>
    <t xml:space="preserve">Pembeli perlu riwayat pesanan tersimpan</t>
  </si>
  <si>
    <t xml:space="preserve">Registrasi dengan nama, email, nomor WhatsApp.</t>
  </si>
  <si>
    <t xml:space="preserve">Auth.php</t>
  </si>
  <si>
    <t xml:space="preserve">Belanja tanpa akun (guest checkout)</t>
  </si>
  <si>
    <t xml:space="preserve">Ya</t>
  </si>
  <si>
    <t xml:space="preserve">Pembeli lokal malas daftar hanya untuk sekali beli</t>
  </si>
  <si>
    <t xml:space="preserve">Checkout cukup nama + nomor WA; pesanan dibuka lewat token.</t>
  </si>
  <si>
    <t xml:space="preserve">orders.user_id boleh NULL, Checkout::done/{token}</t>
  </si>
  <si>
    <t xml:space="preserve">Lacak pesanan dengan nomor pesanan + nomor WA</t>
  </si>
  <si>
    <t xml:space="preserve">Pembeli tamu tidak punya akun untuk mengecek status</t>
  </si>
  <si>
    <t xml:space="preserve">Form lacak sederhana tanpa login.</t>
  </si>
  <si>
    <t xml:space="preserve">Track.php</t>
  </si>
  <si>
    <t xml:space="preserve">Login OTP WhatsApp / tanpa kata sandi</t>
  </si>
  <si>
    <t xml:space="preserve">Pembeli sering lupa sandi</t>
  </si>
  <si>
    <t xml:space="preserve">Masuk cukup dengan kode OTP dikirim ke WA.</t>
  </si>
  <si>
    <t xml:space="preserve">Auth::otp + Auth_lib::buat_otp — kode 6 angka dikirim lewat gerbang WA, terkunci setelah 5 kali salah.</t>
  </si>
  <si>
    <t xml:space="preserve">Lupa kata sandi mandiri</t>
  </si>
  <si>
    <t xml:space="preserve">Saat ini reset sandi harus lewat admin</t>
  </si>
  <si>
    <t xml:space="preserve">Tautan/OTP reset sandi sendiri.</t>
  </si>
  <si>
    <t xml:space="preserve">Auth::lupa / Auth::reset + Token_model &amp; Surat_lib — tautan sekali pakai ke email (SMTP di config/surat.php) dan WhatsApp; isian boleh email atau nomor WA. </t>
  </si>
  <si>
    <t xml:space="preserve">Verifikasi email</t>
  </si>
  <si>
    <t xml:space="preserve">Email salah ketik membuat tautan reset sandi &amp; kabar pesanan tidak sampai; penjual yang menerima uang harus bisa dihubungi</t>
  </si>
  <si>
    <t xml:space="preserve">Tautan verifikasi dikirim saat daftar, spanduk pengingat + kirim ulang di halaman akun, wajib sebelum membuka toko.</t>
  </si>
  <si>
    <t xml:space="preserve">Auth::verifikasi, Auth::kirim_verifikasi, parts/verif_spanduk.php, kolom users.email_verified_at di 25_reset_sandi_verifikasi.sql.</t>
  </si>
  <si>
    <t xml:space="preserve">Profil &amp; ubah sandi</t>
  </si>
  <si>
    <t xml:space="preserve">Data kontak berubah</t>
  </si>
  <si>
    <t xml:space="preserve">Ubah nama, foto, nomor, sandi.</t>
  </si>
  <si>
    <t xml:space="preserve">Akun::profil</t>
  </si>
  <si>
    <t xml:space="preserve">Penemuan Produk</t>
  </si>
  <si>
    <t xml:space="preserve">Katalog berbasis lokasi ("dekat saya")</t>
  </si>
  <si>
    <t xml:space="preserve">Pembeli ingin produk UMKM tetangga, ongkir murah &amp; cepat</t>
  </si>
  <si>
    <t xml:space="preserve">Pilih kecamatan atau titik GPS, urutan produk mendahulukan toko terdekat.</t>
  </si>
  <si>
    <t xml:space="preserve">Location.php, Product_model::proximity_sql, toko_sekitar</t>
  </si>
  <si>
    <t xml:space="preserve">Pencarian &amp; filter</t>
  </si>
  <si>
    <t xml:space="preserve">Sulit menemukan produk spesifik</t>
  </si>
  <si>
    <t xml:space="preserve">Cari kata kunci, filter kategori &amp; rentang harga.</t>
  </si>
  <si>
    <t xml:space="preserve">Shop.php, Product_model::build_filter, price_range</t>
  </si>
  <si>
    <t xml:space="preserve">Urutkan hasil</t>
  </si>
  <si>
    <t xml:space="preserve">Ingin yang termurah/terbaik dulu</t>
  </si>
  <si>
    <t xml:space="preserve">Terbaru, ulasan terbaik, harga, nama.</t>
  </si>
  <si>
    <t xml:space="preserve">Product_model::sort_options</t>
  </si>
  <si>
    <t xml:space="preserve">Kategori UMKM dengan ikon</t>
  </si>
  <si>
    <t xml:space="preserve">Pengguna awam lebih cepat mengenali gambar daripada teks</t>
  </si>
  <si>
    <t xml:space="preserve">Kartu kategori berikon di beranda.</t>
  </si>
  <si>
    <t xml:space="preserve">15_kategori_umkm.sql</t>
  </si>
  <si>
    <t xml:space="preserve">Halaman toko</t>
  </si>
  <si>
    <t xml:space="preserve">Pembeli ingin melihat reputasi &amp; produk lain penjual</t>
  </si>
  <si>
    <t xml:space="preserve">Profil toko, nilai rata-rata, daftar produk.</t>
  </si>
  <si>
    <t xml:space="preserve">Toko.php, parts/toko_nilai.php</t>
  </si>
  <si>
    <t xml:space="preserve">Detail produk dengan varian &amp; add-on</t>
  </si>
  <si>
    <t xml:space="preserve">Produk UMKM sering punya ukuran/rasa/tambahan</t>
  </si>
  <si>
    <t xml:space="preserve">Pilih varian (dengan foto &amp; selisih harga) dan add-on.</t>
  </si>
  <si>
    <t xml:space="preserve">Product_model::variants, addons_for_product</t>
  </si>
  <si>
    <t xml:space="preserve">Wishlist / simpan produk favorit</t>
  </si>
  <si>
    <t xml:space="preserve">Pembeli ingin membeli nanti</t>
  </si>
  <si>
    <t xml:space="preserve">Tombol ♥ dan daftar favorit.</t>
  </si>
  <si>
    <t xml:space="preserve">Favorit controller, tabel wishlists, tombol ♥ di kartu &amp; halaman produk.</t>
  </si>
  <si>
    <t xml:space="preserve">Ikuti toko</t>
  </si>
  <si>
    <t xml:space="preserve">Pelanggan setia tidak tahu kalau toko langganannya punya produk baru</t>
  </si>
  <si>
    <t xml:space="preserve">Follow toko + kabar produk baru.</t>
  </si>
  <si>
    <t xml:space="preserve">Favorit::ikuti, tabel store_follows; deret "Baru dari toko yang kamu ikuti" di beranda.</t>
  </si>
  <si>
    <t xml:space="preserve">Rekomendasi &amp; "terlaris"</t>
  </si>
  <si>
    <t xml:space="preserve">Pembeli bingung memilih</t>
  </si>
  <si>
    <t xml:space="preserve">Rekomendasi berdasarkan riwayat, label terlaris di sekitar.</t>
  </si>
  <si>
    <t xml:space="preserve">urutan terlaris di katalog (kolom terjual_count), deret rekomendasi dari riwayat beli di beranda.</t>
  </si>
  <si>
    <t xml:space="preserve">Label "Produk Lokal / Halal / P-IRT / Buatan Tangan"</t>
  </si>
  <si>
    <t xml:space="preserve">Pembeli ingin yakin akan keamanan &amp; keaslian produk UMKM</t>
  </si>
  <si>
    <t xml:space="preserve">Lencana terverifikasi di kartu produk.</t>
  </si>
  <si>
    <t xml:space="preserve">kolom buatan_tangan, bahan_lokal, halal_no, pirt_no + lencana; P-IRT/Halal terverifikasi admin.</t>
  </si>
  <si>
    <t xml:space="preserve">Bagikan produk ke WhatsApp</t>
  </si>
  <si>
    <t xml:space="preserve">Promosi UMKM paling efektif lewat grup WA</t>
  </si>
  <si>
    <t xml:space="preserve">Tombol share dengan pesan siap kirim.</t>
  </si>
  <si>
    <t xml:space="preserve">parts/bagikan.php — tombol WA dengan pesan siap kirim + salin tautan.</t>
  </si>
  <si>
    <t xml:space="preserve">Keranjang, Checkout &amp; Pembayaran</t>
  </si>
  <si>
    <t xml:space="preserve">Keranjang &amp; "Beli Langsung"</t>
  </si>
  <si>
    <t xml:space="preserve">Ingin beli cepat satu barang</t>
  </si>
  <si>
    <t xml:space="preserve">Keranjang per toko dan jalur beli langsung.</t>
  </si>
  <si>
    <t xml:space="preserve">Cart.php, Cart_lib::mode_langsung</t>
  </si>
  <si>
    <t xml:space="preserve">Buku alamat</t>
  </si>
  <si>
    <t xml:space="preserve">Mengetik alamat berulang; penerima sering bukan pembeli</t>
  </si>
  <si>
    <t xml:space="preserve">Simpan banyak alamat ("Rumah", "Rumah Ibu"), pilih saat checkout; alamat baru bisa langsung disimpan dari halaman checkout (centang "Simpan alamat ini").</t>
  </si>
  <si>
    <t xml:space="preserve">22_buku_alamat.sql, Akun::alamat, Checkout::simpan_alamat_pembeli</t>
  </si>
  <si>
    <t xml:space="preserve">Ongkir otomatis berdasarkan wilayah</t>
  </si>
  <si>
    <t xml:space="preserve">Ongkir tidak jelas sebelum bayar</t>
  </si>
  <si>
    <t xml:space="preserve">Tarif kecamatan/kota/provinsi/luar provinsi dari toko, plus gratis ongkir minimal belanja.</t>
  </si>
  <si>
    <t xml:space="preserve">Cart_lib::shipping_fee</t>
  </si>
  <si>
    <t xml:space="preserve">Pembayaran online (VA/QRIS/e-wallet via Duitku)</t>
  </si>
  <si>
    <t xml:space="preserve">Transfer manual rawan salah &amp; lama dicek</t>
  </si>
  <si>
    <t xml:space="preserve">Pembayaran terverifikasi otomatis via callback.</t>
  </si>
  <si>
    <t xml:space="preserve">Payment.php, libraries/Duitku.php</t>
  </si>
  <si>
    <t xml:space="preserve">Voucher &amp; promo</t>
  </si>
  <si>
    <t xml:space="preserve">Pembeli mencari potongan harga</t>
  </si>
  <si>
    <t xml:space="preserve">Kode voucher toko/platform.</t>
  </si>
  <si>
    <t xml:space="preserve">Voucher_lib — kode voucher toko &amp; platform di checkout.</t>
  </si>
  <si>
    <t xml:space="preserve">Checkout multi-toko</t>
  </si>
  <si>
    <t xml:space="preserve">Keranjang saat ini hanya untuk satu toko</t>
  </si>
  <si>
    <t xml:space="preserve">Beli dari beberapa toko dalam satu pembayaran.</t>
  </si>
  <si>
    <t xml:space="preserve">Cart_lib::per_toko + Tagihan_lib — satu pembayaran Duitku (prefiks TG-) untuk banyak toko.</t>
  </si>
  <si>
    <t xml:space="preserve">Pre-order fleksibel (DP, tanggal ambil, kuota)</t>
  </si>
  <si>
    <t xml:space="preserve">Kue, katering, kerajinan dibuat berdasarkan pesanan</t>
  </si>
  <si>
    <t xml:space="preserve">Pilih tanggal kirim/ambil, bayar DP, kuota harian.</t>
  </si>
  <si>
    <t xml:space="preserve">tanggal kirim, kuota harian, DP + pelunasan (Checkout::lunasi).</t>
  </si>
  <si>
    <t xml:space="preserve">Pasca-Pembelian</t>
  </si>
  <si>
    <t xml:space="preserve">Riwayat &amp; status pesanan</t>
  </si>
  <si>
    <t xml:space="preserve">Pembeli cemas menunggu</t>
  </si>
  <si>
    <t xml:space="preserve">Daftar pesanan dengan linimasa status &amp; nomor resi.</t>
  </si>
  <si>
    <t xml:space="preserve">Akun::pesanan, Order_model::logs</t>
  </si>
  <si>
    <t xml:space="preserve">Batalkan pesanan dengan alasan</t>
  </si>
  <si>
    <t xml:space="preserve">Salah pesan</t>
  </si>
  <si>
    <t xml:space="preserve">Pembatalan oleh pembeli, stok dikembalikan.</t>
  </si>
  <si>
    <t xml:space="preserve">Checkout::batal, Stok_lib::kembalikan</t>
  </si>
  <si>
    <t xml:space="preserve">Konfirmasi pesanan diterima</t>
  </si>
  <si>
    <t xml:space="preserve">Dana penjual tertahan tanpa kepastian</t>
  </si>
  <si>
    <t xml:space="preserve">Tombol "Pesanan diterima".</t>
  </si>
  <si>
    <t xml:space="preserve">Checkout::terima</t>
  </si>
  <si>
    <t xml:space="preserve">Ajukan pengembalian dana (refund)</t>
  </si>
  <si>
    <t xml:space="preserve">Barang tidak sesuai</t>
  </si>
  <si>
    <t xml:space="preserve">Form refund yang ditinjau penjual lalu diproses admin.</t>
  </si>
  <si>
    <t xml:space="preserve">Checkout::refund, Refund_model</t>
  </si>
  <si>
    <t xml:space="preserve">Ulasan dengan foto/video</t>
  </si>
  <si>
    <t xml:space="preserve">Pembeli lain butuh bukti nyata</t>
  </si>
  <si>
    <t xml:space="preserve">Rating bintang + media, hanya dari pembeli asli, filter ulasan.</t>
  </si>
  <si>
    <t xml:space="preserve">Ulasan.php, 19_ulasan.sql</t>
  </si>
  <si>
    <t xml:space="preserve">Chat dengan toko (sebelum &amp; sesudah beli) + lampiran</t>
  </si>
  <si>
    <t xml:space="preserve">Ingin bertanya sebelum membeli tanpa pindah ke WA</t>
  </si>
  <si>
    <t xml:space="preserve">"Tanya ke toko" dan percakapan per pesanan.</t>
  </si>
  <si>
    <t xml:space="preserve">Chat.php, 18_tanya_toko.sql</t>
  </si>
  <si>
    <t xml:space="preserve">Notifikasi di dalam situs</t>
  </si>
  <si>
    <t xml:space="preserve">Tidak tahu ada balasan/perubahan status</t>
  </si>
  <si>
    <t xml:space="preserve">Lonceng notifikasi &amp; inbox.</t>
  </si>
  <si>
    <t xml:space="preserve">Akun::notif, inbox_json</t>
  </si>
  <si>
    <t xml:space="preserve">Notifikasi WhatsApp / email otomatis</t>
  </si>
  <si>
    <t xml:space="preserve">Pengguna jarang membuka web, tapi selalu membuka WA</t>
  </si>
  <si>
    <t xml:space="preserve">Kabar status pesanan dikirim ke WA.</t>
  </si>
  <si>
    <t xml:space="preserve">Notifikasi_lib — WA lewat library Api_Whatsapp milik sendiri (wa_notif), cadangan gerbang format Fonnte; email lewat SMTP. Saklar di Admin &gt; Pengaturan.</t>
  </si>
  <si>
    <t xml:space="preserve">Pengalaman &amp; Aksesibilitas</t>
  </si>
  <si>
    <t xml:space="preserve">Tampilan khusus HP otomatis</t>
  </si>
  <si>
    <t xml:space="preserve">Mayoritas pengguna UMKM memakai HP murah</t>
  </si>
  <si>
    <t xml:space="preserve">Deteksi perangkat &amp; tampilan mobile terpisah, bisa ditukar manual.</t>
  </si>
  <si>
    <t xml:space="preserve">Tampilan_lib, views/mobile/</t>
  </si>
  <si>
    <t xml:space="preserve">PWA / mode hemat kuota</t>
  </si>
  <si>
    <t xml:space="preserve">Sinyal lemah di daerah</t>
  </si>
  <si>
    <t xml:space="preserve">Bisa dipasang di layar utama, gambar ringan, cache offline.</t>
  </si>
  <si>
    <t xml:space="preserve">manifest.webmanifest, sw.js, halaman offline; mode hemat kuota (tanpa font web).</t>
  </si>
  <si>
    <t xml:space="preserve">Mode huruf besar &amp; bahasa daerah</t>
  </si>
  <si>
    <t xml:space="preserve">Pengguna lansia/kurang terbiasa bahasa formal</t>
  </si>
  <si>
    <t xml:space="preserve">Pengaturan ukuran huruf, pilihan bahasa.</t>
  </si>
  <si>
    <t xml:space="preserve">Preferensi controller + t(); huruf besar, bahasa Jawa &amp; Sunda.</t>
  </si>
  <si>
    <t xml:space="preserve">Onboarding &amp; Profil Toko</t>
  </si>
  <si>
    <t xml:space="preserve">Buka toko langsung dari akun pembeli</t>
  </si>
  <si>
    <t xml:space="preserve">Pendaftaran penjual di marketplace besar panjang &amp; membingungkan</t>
  </si>
  <si>
    <t xml:space="preserve">Satu akun = satu toko, form singkat.</t>
  </si>
  <si>
    <t xml:space="preserve">Akun::buka_toko</t>
  </si>
  <si>
    <t xml:space="preserve">Profil toko dengan titik peta</t>
  </si>
  <si>
    <t xml:space="preserve">Pembeli &amp; kurir sulit menemukan lokasi</t>
  </si>
  <si>
    <t xml:space="preserve">Alamat, kecamatan, titik koordinat via peta (Leaflet/OSM).</t>
  </si>
  <si>
    <t xml:space="preserve">Seller::update_profile, valid_koordinat</t>
  </si>
  <si>
    <t xml:space="preserve">Rekening pencairan</t>
  </si>
  <si>
    <t xml:space="preserve">Penjual perlu tempat menerima uang</t>
  </si>
  <si>
    <t xml:space="preserve">Simpan bank, nomor, atas nama.</t>
  </si>
  <si>
    <t xml:space="preserve">Seller::rekening</t>
  </si>
  <si>
    <t xml:space="preserve">Wizard onboarding bertahap + video panduan</t>
  </si>
  <si>
    <t xml:space="preserve">UMKM gaptek bingung harus mulai dari mana</t>
  </si>
  <si>
    <t xml:space="preserve">Checklist "Toko siap jualan" (foto profil → produk pertama → ongkir → rekening) dengan video 1 menit per langkah.</t>
  </si>
  <si>
    <t xml:space="preserve">seller/mulai — checklist "Toko siap jualan" + tautan modul Akademi.</t>
  </si>
  <si>
    <t xml:space="preserve">Bantuan legalitas (NIB, P-IRT, Halal)</t>
  </si>
  <si>
    <t xml:space="preserve">UMKM sulit naik kelas karena legalitas</t>
  </si>
  <si>
    <t xml:space="preserve">Panduan langkah-langkah, unggah dokumen, lencana terverifikasi di toko.</t>
  </si>
  <si>
    <t xml:space="preserve">seller/legalitas — panduan NIB/P-IRT/Halal, unggah dokumen privat, lencana setelah diverifikasi.</t>
  </si>
  <si>
    <t xml:space="preserve">Mode libur / tutup sementara</t>
  </si>
  <si>
    <t xml:space="preserve">Penjual pulang kampung, pesanan tetap masuk</t>
  </si>
  <si>
    <t xml:space="preserve">Toggle libur dengan tanggal buka kembali.</t>
  </si>
  <si>
    <t xml:space="preserve">seller/libur — tanggal mulai/buka, pesan untuk pembeli, checkout otomatis ditolak.</t>
  </si>
  <si>
    <t xml:space="preserve">Manajemen Produk</t>
  </si>
  <si>
    <t xml:space="preserve">Tambah/ubah/aktifkan produk</t>
  </si>
  <si>
    <t xml:space="preserve">Katalog perlu diperbarui cepat</t>
  </si>
  <si>
    <t xml:space="preserve">Form produk, toggle aktif/nonaktif.</t>
  </si>
  <si>
    <t xml:space="preserve">Seller::form/save/toggle</t>
  </si>
  <si>
    <t xml:space="preserve">Varian &amp; add-on dengan foto</t>
  </si>
  <si>
    <t xml:space="preserve">Satu produk banyak pilihan</t>
  </si>
  <si>
    <t xml:space="preserve">Varian (selisih harga + gambar), add-on opsional.</t>
  </si>
  <si>
    <t xml:space="preserve">v_product_form.php</t>
  </si>
  <si>
    <t xml:space="preserve">Stok produk otomatis</t>
  </si>
  <si>
    <t xml:space="preserve">Overselling</t>
  </si>
  <si>
    <t xml:space="preserve">Stok dipotong saat lunas, dikembalikan saat batal.</t>
  </si>
  <si>
    <t xml:space="preserve">Stok_lib</t>
  </si>
  <si>
    <t xml:space="preserve">Cari &amp; urutkan produk di panel</t>
  </si>
  <si>
    <t xml:space="preserve">Sulit mengelola katalog besar</t>
  </si>
  <si>
    <t xml:space="preserve">Pencarian &amp; sortir server-side dengan paginasi.</t>
  </si>
  <si>
    <t xml:space="preserve">Seller::index</t>
  </si>
  <si>
    <t xml:space="preserve">AI penulis deskripsi produk (dari nama + foto)</t>
  </si>
  <si>
    <t xml:space="preserve">UMKM tidak pandai menulis copywriting</t>
  </si>
  <si>
    <t xml:space="preserve">Satu klik menghasilkan deskripsi; ada kuota pemakaian.</t>
  </si>
  <si>
    <t xml:space="preserve">Ai_lib::deskripsi_produk, Seller::deskripsi</t>
  </si>
  <si>
    <t xml:space="preserve">Kompres/rapikan gambar otomatis</t>
  </si>
  <si>
    <t xml:space="preserve">Foto HP berukuran besar memperlambat situs</t>
  </si>
  <si>
    <t xml:space="preserve">Pemrosesan gambar saat unggah.</t>
  </si>
  <si>
    <t xml:space="preserve">gambar_helper.php, tools/rapikan_gambar_lama.php</t>
  </si>
  <si>
    <t xml:space="preserve">Peringatan stok menipis</t>
  </si>
  <si>
    <t xml:space="preserve">Kehabisan stok tanpa sadar</t>
  </si>
  <si>
    <t xml:space="preserve">Notifikasi saat stok di bawah ambang.</t>
  </si>
  <si>
    <t xml:space="preserve">ambang di Pengaturan; kabar WA saat pesanan lunas + kartu di dasbor penjual.</t>
  </si>
  <si>
    <t xml:space="preserve">Unggah massal (Excel/CSV) &amp; duplikat produk</t>
  </si>
  <si>
    <t xml:space="preserve">Input satu per satu melelahkan</t>
  </si>
  <si>
    <t xml:space="preserve">Template Excel sederhana, tombol "duplikat".</t>
  </si>
  <si>
    <t xml:space="preserve">seller/massal — template .xlsx/.csv, impor &amp; ekspor; tombol duplikat produk.</t>
  </si>
  <si>
    <t xml:space="preserve">Harga grosir / minimal beli bertingkat</t>
  </si>
  <si>
    <t xml:space="preserve">UMKM juga melayani reseller</t>
  </si>
  <si>
    <t xml:space="preserve">Harga berbeda berdasarkan jumlah.</t>
  </si>
  <si>
    <t xml:space="preserve">tabel product_tiers, harga otomatis di keranjang.</t>
  </si>
  <si>
    <t xml:space="preserve">Pengaturan pre-order per produk</t>
  </si>
  <si>
    <t xml:space="preserve">Produk dibuat sesuai pesanan</t>
  </si>
  <si>
    <t xml:space="preserve">Lama produksi per produk, kuota harian, DP, kalender tanggal tersedia.</t>
  </si>
  <si>
    <t xml:space="preserve">kolom is_preorder, po_hari, po_kuota_harian, po_dp_persen.</t>
  </si>
  <si>
    <t xml:space="preserve">Pesanan &amp; Pengiriman</t>
  </si>
  <si>
    <t xml:space="preserve">Alur status pesanan satu tombol + Undo 15 menit</t>
  </si>
  <si>
    <t xml:space="preserve">Penjual gaptek takut salah klik</t>
  </si>
  <si>
    <t xml:space="preserve">Tombol "lanjut ke status berikutnya" dan pembatalan aksi selama 15 menit.</t>
  </si>
  <si>
    <t xml:space="preserve">Seller::ubah_status, undo_status, UNDO_DETIK</t>
  </si>
  <si>
    <t xml:space="preserve">Antrean pesanan berprioritas</t>
  </si>
  <si>
    <t xml:space="preserve">Pesanan penting tertimbun</t>
  </si>
  <si>
    <t xml:space="preserve">Pesanan lunas yang belum diproses tampil paling atas.</t>
  </si>
  <si>
    <t xml:space="preserve">Seller::orders</t>
  </si>
  <si>
    <t xml:space="preserve">Kurir lokal / antar sendiri dengan tarif bertingkat</t>
  </si>
  <si>
    <t xml:space="preserve">Tarif ekspedisi nasional mahal untuk pengiriman dekat</t>
  </si>
  <si>
    <t xml:space="preserve">Penjual menetapkan ongkir sendiri per kecamatan/kota/provinsi/luar, resi opsional.</t>
  </si>
  <si>
    <t xml:space="preserve">Cart_lib::shipping_fee, 23_ongkir_luar.sql</t>
  </si>
  <si>
    <t xml:space="preserve">Gratis ongkir minimal belanja per toko</t>
  </si>
  <si>
    <t xml:space="preserve">Butuh pemicu pembelian lebih banyak</t>
  </si>
  <si>
    <t xml:space="preserve">Atur batas nominal gratis ongkir.</t>
  </si>
  <si>
    <t xml:space="preserve">gratis_ongkir_min</t>
  </si>
  <si>
    <t xml:space="preserve">Waktu proses pesanan</t>
  </si>
  <si>
    <t xml:space="preserve">Pembeli menuntut cepat padahal produk dibuat dulu</t>
  </si>
  <si>
    <t xml:space="preserve">Toko mengatur 1–30 hari waktu proses.</t>
  </si>
  <si>
    <t xml:space="preserve">waktu_proses_hari</t>
  </si>
  <si>
    <t xml:space="preserve">Kirim foto bukti paket ke pembeli</t>
  </si>
  <si>
    <t xml:space="preserve">Sengketa "barang tidak sesuai"</t>
  </si>
  <si>
    <t xml:space="preserve">Foto tersimpan di percakapan pesanan.</t>
  </si>
  <si>
    <t xml:space="preserve">Seller::kirim_foto</t>
  </si>
  <si>
    <t xml:space="preserve">Batalkan pesanan oleh penjual</t>
  </si>
  <si>
    <t xml:space="preserve">Stok habis/bahan tidak tersedia</t>
  </si>
  <si>
    <t xml:space="preserve">Pembatalan beralasan + pengembalian stok.</t>
  </si>
  <si>
    <t xml:space="preserve">Seller::batal_pesanan</t>
  </si>
  <si>
    <t xml:space="preserve">Hubungi pembeli via WhatsApp</t>
  </si>
  <si>
    <t xml:space="preserve">Butuh konfirmasi cepat</t>
  </si>
  <si>
    <t xml:space="preserve">Tautan wa.me ke nomor pembeli.</t>
  </si>
  <si>
    <t xml:space="preserve">seller/v_orders.php</t>
  </si>
  <si>
    <t xml:space="preserve">Integrasi ekspedisi &amp; cek resi otomatis (JNE, J&amp;T, GoSend, Grab)</t>
  </si>
  <si>
    <t xml:space="preserve">Penjual luar kota harus cek tarif manual</t>
  </si>
  <si>
    <t xml:space="preserve">Tarif real-time dan pelacakan otomatis via agregator.</t>
  </si>
  <si>
    <t xml:space="preserve">Ekspedisi_lib — daftar kurir, lacak resi di halaman pesanan, seller/ongkir bandingkan tarif; perlu kunci agregator (Biteship) di Pengaturan, tanpa kunci tetap ada tautan lacak resmi. Tarif otomatis di checkout pembeli belum.</t>
  </si>
  <si>
    <t xml:space="preserve">Cetak label pengiriman &amp; nota/struk</t>
  </si>
  <si>
    <t xml:space="preserve">Menulis alamat tangan memakan waktu</t>
  </si>
  <si>
    <t xml:space="preserve">Cetak label + invoice PDF / printer thermal.</t>
  </si>
  <si>
    <t xml:space="preserve">seller/cetak — label &amp; nota siap cetak (A4/thermal 58mm).</t>
  </si>
  <si>
    <t xml:space="preserve">Notifikasi pesanan baru ke WhatsApp penjual</t>
  </si>
  <si>
    <t xml:space="preserve">Penjual tidak selalu membuka panel</t>
  </si>
  <si>
    <t xml:space="preserve">Pesan WA otomatis saat ada pesanan lunas.</t>
  </si>
  <si>
    <t xml:space="preserve">Notifikasi_lib::pesanan_dibayar.</t>
  </si>
  <si>
    <t xml:space="preserve">Komunikasi &amp; Reputasi</t>
  </si>
  <si>
    <t xml:space="preserve">Inbox chat pembeli</t>
  </si>
  <si>
    <t xml:space="preserve">Pertanyaan tersebar di WA pribadi</t>
  </si>
  <si>
    <t xml:space="preserve">Inbox terpusat per pembeli/pesanan.</t>
  </si>
  <si>
    <t xml:space="preserve">Seller::pesan, chat, inbox_json</t>
  </si>
  <si>
    <t xml:space="preserve">Balas ulasan</t>
  </si>
  <si>
    <t xml:space="preserve">Ulasan buruk tidak bisa diklarifikasi</t>
  </si>
  <si>
    <t xml:space="preserve">Balasan publik penjual.</t>
  </si>
  <si>
    <t xml:space="preserve">Seller::balas, Review_model::balas</t>
  </si>
  <si>
    <t xml:space="preserve">Kelola refund</t>
  </si>
  <si>
    <t xml:space="preserve">Keluhan butuh alur jelas</t>
  </si>
  <si>
    <t xml:space="preserve">Setujui/tolak permintaan refund.</t>
  </si>
  <si>
    <t xml:space="preserve">Seller::refund, refund_putus</t>
  </si>
  <si>
    <t xml:space="preserve">Balasan cepat (template chat)</t>
  </si>
  <si>
    <t xml:space="preserve">Pertanyaan berulang ("ready kak?")</t>
  </si>
  <si>
    <t xml:space="preserve">Template jawaban satu ketuk.</t>
  </si>
  <si>
    <t xml:space="preserve">seller/template + tombol template di chat.</t>
  </si>
  <si>
    <t xml:space="preserve">Keuangan &amp; Naik Kelas (Pembeda Utama)</t>
  </si>
  <si>
    <t xml:space="preserve">Ringkasan pendapatan &amp; status dana</t>
  </si>
  <si>
    <t xml:space="preserve">Penjual tidak tahu uangnya di mana</t>
  </si>
  <si>
    <t xml:space="preserve">Dana tertahan / siap cair / sudah cair, potongan komisi tercatat.</t>
  </si>
  <si>
    <t xml:space="preserve">Seller::pendapatan, Pendapatan_lib</t>
  </si>
  <si>
    <t xml:space="preserve">Pembukuan sederhana (kas masuk-keluar)</t>
  </si>
  <si>
    <t xml:space="preserve">Mayoritas UMKM tidak mencatat keuangan sehingga sulit akses modal</t>
  </si>
  <si>
    <t xml:space="preserve">Penjualan marketplace tercatat otomatis, penjual menambah pengeluaran (bahan, sewa) dengan tombol besar, laporan laba sederhana harian/bulanan.</t>
  </si>
  <si>
    <t xml:space="preserve">seller/pembukuan — penjualan marketplace masuk otomatis, kas manual.</t>
  </si>
  <si>
    <t xml:space="preserve">Laporan penjualan &amp; statistik toko</t>
  </si>
  <si>
    <t xml:space="preserve">Tidak tahu produk mana yang laku</t>
  </si>
  <si>
    <t xml:space="preserve">Grafik omzet, produk terlaris, jam ramai; ekspor Excel/PDF.</t>
  </si>
  <si>
    <t xml:space="preserve">seller/laporan — grafik omzet, terlaris, jam ramai, ekspor Excel.</t>
  </si>
  <si>
    <t xml:space="preserve">Laporan keuangan siap ajukan KUR/pinjaman</t>
  </si>
  <si>
    <t xml:space="preserve">Bank meminta laporan keuangan</t>
  </si>
  <si>
    <t xml:space="preserve">Ekspor laporan rapi dari data pembukuan.</t>
  </si>
  <si>
    <t xml:space="preserve">seller/laporan/kur — laba rugi &amp; arus kas siap cetak.</t>
  </si>
  <si>
    <t xml:space="preserve">Voucher &amp; promo toko</t>
  </si>
  <si>
    <t xml:space="preserve">Sulit bersaing harga</t>
  </si>
  <si>
    <t xml:space="preserve">Diskon persentase/nominal, voucher pelanggan setia.</t>
  </si>
  <si>
    <t xml:space="preserve">seller/voucher — persen/nominal, minimal belanja, kuota, khusus pelanggan lama.</t>
  </si>
  <si>
    <t xml:space="preserve">Akademi UMKM (pelatihan &amp; pendampingan)</t>
  </si>
  <si>
    <t xml:space="preserve">UMKM tidak tahu cara foto produk, menentukan harga, atau pemasaran</t>
  </si>
  <si>
    <t xml:space="preserve">Modul video pendek, kuis, sertifikat, jadwal konsultasi dengan pendamping/mentor.</t>
  </si>
  <si>
    <t xml:space="preserve">seller/akademi — modul, kuis, sertifikat, jadwal pelatihan.</t>
  </si>
  <si>
    <t xml:space="preserve">Skor "Naik Kelas" toko</t>
  </si>
  <si>
    <t xml:space="preserve">Tidak ada arah pengembangan usaha</t>
  </si>
  <si>
    <t xml:space="preserve">Level toko (Pemula → Berkembang → Unggul) berdasarkan kelengkapan profil, legalitas, kecepatan respons, rating, dengan saran langkah berikutnya.</t>
  </si>
  <si>
    <t xml:space="preserve">Naik_kelas_lib — skor 0–100, level Pemula/Berkembang/Unggul, saran langkah berikutnya.</t>
  </si>
  <si>
    <t xml:space="preserve">QR code / kartu nama toko digital</t>
  </si>
  <si>
    <t xml:space="preserve">Promosi offline sulit diarahkan ke toko online</t>
  </si>
  <si>
    <t xml:space="preserve">QR siap cetak menuju halaman toko.</t>
  </si>
  <si>
    <t xml:space="preserve">seller/qr — QR &amp; kartu siap cetak (generator QR lokal).</t>
  </si>
  <si>
    <t xml:space="preserve">Monitoring</t>
  </si>
  <si>
    <t xml:space="preserve">Dashboard ringkasan</t>
  </si>
  <si>
    <t xml:space="preserve">Admin butuh gambaran cepat</t>
  </si>
  <si>
    <t xml:space="preserve">Toko aktif/menunggu, produk aktif, akun, pesanan perlu diproses, pesanan hari ini, omzet bulan berjalan.</t>
  </si>
  <si>
    <t xml:space="preserve">admin/Dashboard.php</t>
  </si>
  <si>
    <t xml:space="preserve">Laporan &amp; analitik platform</t>
  </si>
  <si>
    <t xml:space="preserve">Tidak bisa mengukur pertumbuhan</t>
  </si>
  <si>
    <t xml:space="preserve">GMV per periode/wilayah/kategori, pertumbuhan toko, ekspor data.</t>
  </si>
  <si>
    <t xml:space="preserve">admin/analitik — GMV per periode/wilayah/kategori, ekspor Excel.</t>
  </si>
  <si>
    <t xml:space="preserve">Peta sebaran UMKM</t>
  </si>
  <si>
    <t xml:space="preserve">Pemda/mitra ingin tahu wilayah yang perlu dibina</t>
  </si>
  <si>
    <t xml:space="preserve">Peta toko per kecamatan beserta tingkat aktivitasnya.</t>
  </si>
  <si>
    <t xml:space="preserve">admin/peta — peta Leaflet per kecamatan + tingkat aktivitas.</t>
  </si>
  <si>
    <t xml:space="preserve">Pengguna &amp; Toko</t>
  </si>
  <si>
    <t xml:space="preserve">Persetujuan &amp; kelola toko</t>
  </si>
  <si>
    <t xml:space="preserve">Mencegah toko fiktif</t>
  </si>
  <si>
    <t xml:space="preserve">Daftar toko menunggu, ubah data, aktif/nonaktifkan.</t>
  </si>
  <si>
    <t xml:space="preserve">admin/Stores.php</t>
  </si>
  <si>
    <t xml:space="preserve">Kelola pengguna</t>
  </si>
  <si>
    <t xml:space="preserve">Akun bermasalah</t>
  </si>
  <si>
    <t xml:space="preserve">Aktif/nonaktif, ubah peran, reset sandi.</t>
  </si>
  <si>
    <t xml:space="preserve">admin/Users.php</t>
  </si>
  <si>
    <t xml:space="preserve">Verifikasi dokumen (KTP/NIB/Halal) &amp; lencana</t>
  </si>
  <si>
    <t xml:space="preserve">Kepercayaan pembeli</t>
  </si>
  <si>
    <t xml:space="preserve">Antrean verifikasi dokumen, pemberian lencana.</t>
  </si>
  <si>
    <t xml:space="preserve">admin/verifikasi — antrean dokumen, setujui/tolak, lencana otomatis.</t>
  </si>
  <si>
    <t xml:space="preserve">Manajemen pendamping UMKM</t>
  </si>
  <si>
    <t xml:space="preserve">Pembinaan tidak terpantau</t>
  </si>
  <si>
    <t xml:space="preserve">Tetapkan pendamping per toko, catatan kunjungan, progres "naik kelas".</t>
  </si>
  <si>
    <t xml:space="preserve">admin/pendamping + panel pendamping — catatan kunjungan &amp; progres.</t>
  </si>
  <si>
    <t xml:space="preserve">Katalog &amp; Konten</t>
  </si>
  <si>
    <t xml:space="preserve">Kelola kategori + ikon</t>
  </si>
  <si>
    <t xml:space="preserve">Kategori berantakan</t>
  </si>
  <si>
    <t xml:space="preserve">Tambah/ubah/nonaktifkan/hapus kategori aman.</t>
  </si>
  <si>
    <t xml:space="preserve">admin/Categories.php</t>
  </si>
  <si>
    <t xml:space="preserve">Moderasi produk</t>
  </si>
  <si>
    <t xml:space="preserve">Produk terlarang/menyesatkan lolos</t>
  </si>
  <si>
    <t xml:space="preserve">Daftar produk semua toko, takedown, laporan pengguna.</t>
  </si>
  <si>
    <t xml:space="preserve">admin/moderasi — turunkan/pulihkan produk, laporan pengguna (Laporkan).</t>
  </si>
  <si>
    <t xml:space="preserve">CMS banner &amp; halaman promo</t>
  </si>
  <si>
    <t xml:space="preserve">Kampanye musiman perlu deploy kode</t>
  </si>
  <si>
    <t xml:space="preserve">Atur banner beranda, halaman kampanye ("Pekan Produk Lokal").</t>
  </si>
  <si>
    <t xml:space="preserve">admin/banner + /promo/{slug}.</t>
  </si>
  <si>
    <t xml:space="preserve">Kelola konten Akademi UMKM</t>
  </si>
  <si>
    <t xml:space="preserve">Materi pelatihan perlu diperbarui</t>
  </si>
  <si>
    <t xml:space="preserve">Unggah modul, kuis, jadwal webinar.</t>
  </si>
  <si>
    <t xml:space="preserve">admin/akademi — modul, soal kuis, jadwal.</t>
  </si>
  <si>
    <t xml:space="preserve">Moderasi ulasan &amp; laporan</t>
  </si>
  <si>
    <t xml:space="preserve">Ulasan kasar/spam</t>
  </si>
  <si>
    <t xml:space="preserve">Sembunyikan ulasan, tangani laporan.</t>
  </si>
  <si>
    <t xml:space="preserve">admin/moderasi/ulasan — sembunyikan ulasan, rating dihitung ulang.</t>
  </si>
  <si>
    <t xml:space="preserve">Transaksi &amp; Keuangan</t>
  </si>
  <si>
    <t xml:space="preserve">Pencairan dana ke toko</t>
  </si>
  <si>
    <t xml:space="preserve">Penjual menunggu uang</t>
  </si>
  <si>
    <t xml:space="preserve">Cairkan, tandai selesai/gagal dengan bukti.</t>
  </si>
  <si>
    <t xml:space="preserve">admin/Keuangan.php, Pendapatan_lib</t>
  </si>
  <si>
    <t xml:space="preserve">Komisi platform terkunci per pesanan</t>
  </si>
  <si>
    <t xml:space="preserve">Perubahan komisi merusak catatan lama</t>
  </si>
  <si>
    <t xml:space="preserve">Komisi dihitung &amp; disimpan saat lunas, dibatasi 0–50%.</t>
  </si>
  <si>
    <t xml:space="preserve">Pendapatan_lib::catat</t>
  </si>
  <si>
    <t xml:space="preserve">Proses refund</t>
  </si>
  <si>
    <t xml:space="preserve">Gateway tidak punya API refund</t>
  </si>
  <si>
    <t xml:space="preserve">Admin menandai refund yang disetujui penjual sebagai selesai.</t>
  </si>
  <si>
    <t xml:space="preserve">Keuangan::refund, refund_selesai</t>
  </si>
  <si>
    <t xml:space="preserve">Rekonsiliasi pembayaran otomatis</t>
  </si>
  <si>
    <t xml:space="preserve">Pesanan menggantung/tidak terbayar</t>
  </si>
  <si>
    <t xml:space="preserve">Callback Duitku tercatat, sapu otomatis pesanan kedaluwarsa.</t>
  </si>
  <si>
    <t xml:space="preserve">Payment::callback/sweep, Order_model::log_callback, tandai_kedaluwarsa</t>
  </si>
  <si>
    <t xml:space="preserve">Pusat sengketa (dispute)</t>
  </si>
  <si>
    <t xml:space="preserve">Pembeli dan penjual tidak sepakat soal refund</t>
  </si>
  <si>
    <t xml:space="preserve">Admin menengahi dengan bukti chat &amp; foto.</t>
  </si>
  <si>
    <t xml:space="preserve">admin/sengketa — percakapan 3 pihak + keputusan yang membuat refund.</t>
  </si>
  <si>
    <t xml:space="preserve">Voucher &amp; subsidi ongkir platform</t>
  </si>
  <si>
    <t xml:space="preserve">Butuh program akuisisi pembeli</t>
  </si>
  <si>
    <t xml:space="preserve">Buat voucher platform dengan kuota &amp; anggaran.</t>
  </si>
  <si>
    <t xml:space="preserve">admin/voucher — kuota &amp; anggaran; subsidi ongkir di Pengaturan.</t>
  </si>
  <si>
    <t xml:space="preserve">Pengaturan sistem lewat UI</t>
  </si>
  <si>
    <t xml:space="preserve">Komisi, kunci API, kontak WA admin diubah lewat file config</t>
  </si>
  <si>
    <t xml:space="preserve">Halaman pengaturan.</t>
  </si>
  <si>
    <t xml:space="preserve">admin/pengaturan — komisi, WA, email, ekspedisi, promo, stok.</t>
  </si>
  <si>
    <t xml:space="preserve">Komunikasi &amp; Keamanan</t>
  </si>
  <si>
    <t xml:space="preserve">Broadcast pengumuman ke penjual (web + WA)</t>
  </si>
  <si>
    <t xml:space="preserve">Info pelatihan/kebijakan tidak sampai</t>
  </si>
  <si>
    <t xml:space="preserve">Kirim pengumuman tersegmentasi per wilayah/kategori.</t>
  </si>
  <si>
    <t xml:space="preserve">admin/broadcast — per wilayah/kategori, banner di panel penjual + WA.</t>
  </si>
  <si>
    <t xml:space="preserve">Log audit aktivitas admin</t>
  </si>
  <si>
    <t xml:space="preserve">Tidak bisa melacak siapa mengubah apa</t>
  </si>
  <si>
    <t xml:space="preserve">Riwayat aksi admin.</t>
  </si>
  <si>
    <t xml:space="preserve">Audit_lib + admin/pengaturan/audit.</t>
  </si>
  <si>
    <t xml:space="preserve">Halaman galat ramah pengguna</t>
  </si>
  <si>
    <t xml:space="preserve">Halaman error teknis membingungkan &amp; membocorkan info</t>
  </si>
  <si>
    <t xml:space="preserve">404/galat dalam kerangka situs.</t>
  </si>
  <si>
    <t xml:space="preserve">Galat.php</t>
  </si>
  <si>
    <t xml:space="preserve">Langkah</t>
  </si>
  <si>
    <t xml:space="preserve">Catatan</t>
  </si>
  <si>
    <t xml:space="preserve">Langkah 1</t>
  </si>
  <si>
    <t xml:space="preserve">Jalankan migrasi database/24_*.sql sampai database/32_*.sql berurutan (aman diulang; cadangkan dulu). Urutan penting: 26_pengaturan_notifikasi.sql menambah kolom ke tabel auth_tokens dari 25_reset_sandi_verifikasi.sql.</t>
  </si>
  <si>
    <t xml:space="preserve">Langkah 2</t>
  </si>
  <si>
    <t xml:space="preserve">Salin application/config/surat.example.php menjadi surat.php dan isi SMTP (dipakai email reset sandi, verifikasi, dan notifikasi). Taruh application/libraries/Api_Whatsapp.php (gerbang WA sendiri, tidak ikut di repo) - otomatis di-autoload dan dipakai semua notifikasi WA; server WA dipilih lewat utility.server_wa (bind / fast_wa / kirimi) di database Anda. Isi kunci agregator ekspedisi (mis. Biteship) di Admin &gt; Pengaturan. Tanpa kunci, fitur tetap jalan dengan cara manual (tautan WA, tautan lacak resmi kurir).</t>
  </si>
  <si>
    <t xml:space="preserve">Langkah 3</t>
  </si>
  <si>
    <t xml:space="preserve">Dokumen legalitas penjual disimpan di application/dokumen_toko/ (tidak bisa diakses publik). Pastikan server web menolak akses langsung ke /application/.</t>
  </si>
  <si>
    <t xml:space="preserve">Langkah 4</t>
  </si>
  <si>
    <t xml:space="preserve">Yang masih bisa dikembangkan: tarif ongkir otomatis dari kurir saat checkout pembeli (kini tarif tetap per wilayah yang diatur penjual; perbandingan tarif kurir tersedia untuk penjual).</t>
  </si>
  <si>
    <t xml:space="preserve">ID Kasus</t>
  </si>
  <si>
    <t xml:space="preserve">No Fitur</t>
  </si>
  <si>
    <t xml:space="preserve">Skenario Uji</t>
  </si>
  <si>
    <t xml:space="preserve">Jenis</t>
  </si>
  <si>
    <t xml:space="preserve">Prasyarat</t>
  </si>
  <si>
    <t xml:space="preserve">Langkah Pengujian</t>
  </si>
  <si>
    <t xml:space="preserve">Data Uji</t>
  </si>
  <si>
    <t xml:space="preserve">Hasil yang Diharapkan</t>
  </si>
  <si>
    <t xml:space="preserve">Hasil Aktual</t>
  </si>
  <si>
    <t xml:space="preserve">Penguji</t>
  </si>
  <si>
    <t xml:space="preserve">Tanggal Uji</t>
  </si>
  <si>
    <t xml:space="preserve">ID Bug / Catatan</t>
  </si>
  <si>
    <t xml:space="preserve">TC-PBL-001</t>
  </si>
  <si>
    <t xml:space="preserve">Daftar akun baru lalu masuk</t>
  </si>
  <si>
    <t xml:space="preserve">Belum login</t>
  </si>
  <si>
    <t xml:space="preserve">1. Buka /auth/register
2. Isi nama, email, nomor WA, sandi 2x
3. Tekan Daftar
4. Keluar, lalu masuk lagi di /auth/login</t>
  </si>
  <si>
    <t xml:space="preserve">Email baru, sandi min. 8 karakter</t>
  </si>
  <si>
    <t xml:space="preserve">Akun dibuat &amp; langsung masuk; bisa keluar dan masuk lagi dengan sandi yang sama.</t>
  </si>
  <si>
    <t xml:space="preserve">TC-PBL-002</t>
  </si>
  <si>
    <t xml:space="preserve">Masuk dengan sandi salah</t>
  </si>
  <si>
    <t xml:space="preserve">Akun sudah ada</t>
  </si>
  <si>
    <t xml:space="preserve">1. Buka /auth/login
2. Isi email benar + sandi salah
3. Tekan Masuk</t>
  </si>
  <si>
    <t xml:space="preserve">Sandi: salah123</t>
  </si>
  <si>
    <t xml:space="preserve">Gagal masuk dengan pesan galat; tidak menyebutkan apakah email terdaftar.</t>
  </si>
  <si>
    <t xml:space="preserve">TC-PBL-003</t>
  </si>
  <si>
    <t xml:space="preserve">Daftar dengan email yang sudah dipakai</t>
  </si>
  <si>
    <t xml:space="preserve">Email sudah terdaftar</t>
  </si>
  <si>
    <t xml:space="preserve">1. Buka /auth/register
2. Isi email yang sudah terdaftar
3. Tekan Daftar</t>
  </si>
  <si>
    <t xml:space="preserve">Email yang sudah terdaftar</t>
  </si>
  <si>
    <t xml:space="preserve">Ditolak dengan pesan email sudah dipakai; tidak ada akun ganda.</t>
  </si>
  <si>
    <t xml:space="preserve">TC-PBL-004</t>
  </si>
  <si>
    <t xml:space="preserve">Checkout tanpa login</t>
  </si>
  <si>
    <t xml:space="preserve">Belum login; keranjang berisi 1 produk</t>
  </si>
  <si>
    <t xml:space="preserve">1. Tambah produk ke keranjang
2. Buka /checkout
3. Isi data penerima &amp; kecamatan
4. Buat pesanan</t>
  </si>
  <si>
    <t xml:space="preserve">Nama, HP 0812..., alamat lengkap</t>
  </si>
  <si>
    <t xml:space="preserve">Pesanan terbentuk dan diarahkan ke halaman pembayaran tanpa diminta login.</t>
  </si>
  <si>
    <t xml:space="preserve">TC-PBL-005</t>
  </si>
  <si>
    <t xml:space="preserve">Lacak pesanan tamu</t>
  </si>
  <si>
    <t xml:space="preserve">Ada pesanan tamu</t>
  </si>
  <si>
    <t xml:space="preserve">1. Buka /track
2. Isi nomor pesanan + nomor WA pemesan
3. Tekan Cari</t>
  </si>
  <si>
    <t xml:space="preserve">Nomor pesanan BNG-..., HP pemesan</t>
  </si>
  <si>
    <t xml:space="preserve">Halaman status pesanan tampil lengkap dengan rincian &amp; riwayat status.</t>
  </si>
  <si>
    <t xml:space="preserve">TC-PBL-006</t>
  </si>
  <si>
    <t xml:space="preserve">Nomor WA tidak cocok</t>
  </si>
  <si>
    <t xml:space="preserve">1. Buka /track
2. Isi nomor pesanan benar + nomor HP lain
3. Tekan Cari</t>
  </si>
  <si>
    <t xml:space="preserve">HP berbeda</t>
  </si>
  <si>
    <t xml:space="preserve">Pesan "Pesanan tidak ditemukan" yang sama untuk nomor salah maupun HP salah.</t>
  </si>
  <si>
    <t xml:space="preserve">TC-PBL-007</t>
  </si>
  <si>
    <t xml:space="preserve">Masuk dengan kode OTP</t>
  </si>
  <si>
    <t xml:space="preserve">Api_Whatsapp.php terpasang &amp; WA aktif di Admin &gt; Pengaturan; akun punya nomor WA unik</t>
  </si>
  <si>
    <t xml:space="preserve">1. Buka /auth/otp
2. Isi nomor WA, tekan Kirim kode
3. Buka WA, salin 6 angka
4. Isi kode, tekan Masuk</t>
  </si>
  <si>
    <t xml:space="preserve">Nomor WA akun</t>
  </si>
  <si>
    <t xml:space="preserve">Kode masuk di WA dalam &lt; 1 menit; setelah diisi, pengguna masuk ke akunnya.</t>
  </si>
  <si>
    <t xml:space="preserve">TC-PBL-008</t>
  </si>
  <si>
    <t xml:space="preserve">Kode salah 5 kali</t>
  </si>
  <si>
    <t xml:space="preserve">Sudah meminta kode</t>
  </si>
  <si>
    <t xml:space="preserve">1. Isi kode salah 5 kali
2. Isi kode yang benar</t>
  </si>
  <si>
    <t xml:space="preserve">000000 x5</t>
  </si>
  <si>
    <t xml:space="preserve">Setiap salah muncul "Kode salah atau sudah kedaluwarsa"; setelah 5 kali, kode benar pun ditolak.</t>
  </si>
  <si>
    <t xml:space="preserve">TC-PBL-009</t>
  </si>
  <si>
    <t xml:space="preserve">Kode kedaluwarsa (&gt; 5 menit)</t>
  </si>
  <si>
    <t xml:space="preserve">1. Tunggu 6 menit
2. Isi kode yang benar</t>
  </si>
  <si>
    <t xml:space="preserve">Kode dari WA</t>
  </si>
  <si>
    <t xml:space="preserve">Ditolak; harus meminta kode baru.</t>
  </si>
  <si>
    <t xml:space="preserve">TC-PBL-010</t>
  </si>
  <si>
    <t xml:space="preserve">Minta kode berulang &lt; 1 menit</t>
  </si>
  <si>
    <t xml:space="preserve">-</t>
  </si>
  <si>
    <t xml:space="preserve">1. Tekan Kirim kode
2. Kembali dan tekan Kirim kode lagi dalam 1 menit</t>
  </si>
  <si>
    <t xml:space="preserve">Permintaan kedua ditolak dengan pesan "Tunggu satu menit".</t>
  </si>
  <si>
    <t xml:space="preserve">TC-PBL-011</t>
  </si>
  <si>
    <t xml:space="preserve">Reset sandi lewat email</t>
  </si>
  <si>
    <t xml:space="preserve">config/surat.php berisi SMTP</t>
  </si>
  <si>
    <t xml:space="preserve">1. Buka /auth/lupa
2. Isi email akun, tekan Kirim tautan
3. Buka email, klik tautan
4. Isi sandi baru 2x
5. Masuk dengan sandi baru</t>
  </si>
  <si>
    <t xml:space="preserve">Sandi baru min. 8 karakter</t>
  </si>
  <si>
    <t xml:space="preserve">Email berisi tautan; sandi berganti; sandi lama tidak berlaku.</t>
  </si>
  <si>
    <t xml:space="preserve">TC-PBL-012</t>
  </si>
  <si>
    <t xml:space="preserve">Reset sandi lewat nomor WhatsApp</t>
  </si>
  <si>
    <t xml:space="preserve">Api_Whatsapp.php terpasang &amp; WA aktif di Admin &gt; Pengaturan</t>
  </si>
  <si>
    <t xml:space="preserve">1. Buka /auth/lupa
2. Isi nomor WA akun
3. Buka tautan dari WA
4. Isi sandi baru</t>
  </si>
  <si>
    <t xml:space="preserve">0812...</t>
  </si>
  <si>
    <t xml:space="preserve">Tautan reset masuk ke WA dan bisa dipakai mengganti sandi.</t>
  </si>
  <si>
    <t xml:space="preserve">TC-PBL-013</t>
  </si>
  <si>
    <t xml:space="preserve">Tautan dipakai dua kali</t>
  </si>
  <si>
    <t xml:space="preserve">Sudah reset sekali</t>
  </si>
  <si>
    <t xml:space="preserve">1. Buka lagi tautan yang sama</t>
  </si>
  <si>
    <t xml:space="preserve">Ditolak: "Tautan ... sudah pernah dipakai".</t>
  </si>
  <si>
    <t xml:space="preserve">TC-PBL-014</t>
  </si>
  <si>
    <t xml:space="preserve">Email tidak terdaftar</t>
  </si>
  <si>
    <t xml:space="preserve">1. Isi email yang tidak terdaftar di /auth/lupa</t>
  </si>
  <si>
    <t xml:space="preserve">tidakada@contoh.com</t>
  </si>
  <si>
    <t xml:space="preserve">Pesan sama seperti email terdaftar (tidak membocorkan keberadaan akun); tidak ada email terkirim.</t>
  </si>
  <si>
    <t xml:space="preserve">TC-PBL-015</t>
  </si>
  <si>
    <t xml:space="preserve">Verifikasi setelah daftar</t>
  </si>
  <si>
    <t xml:space="preserve">Akun baru</t>
  </si>
  <si>
    <t xml:space="preserve">1. Daftar akun baru
2. Buka /akun/profil: spanduk "Email belum diverifikasi" tampil
3. Klik tautan verifikasi di email</t>
  </si>
  <si>
    <t xml:space="preserve">Spanduk hilang setelah verifikasi; pesan "Email kamu sudah terverifikasi".</t>
  </si>
  <si>
    <t xml:space="preserve">TC-PBL-016</t>
  </si>
  <si>
    <t xml:space="preserve">Buka toko sebelum verifikasi</t>
  </si>
  <si>
    <t xml:space="preserve">Akun belum verifikasi</t>
  </si>
  <si>
    <t xml:space="preserve">1. Buka /akun/buka_toko</t>
  </si>
  <si>
    <t xml:space="preserve">Diarahkan ke profil dengan pesan "Verifikasi emailmu dulu sebelum membuka toko".</t>
  </si>
  <si>
    <t xml:space="preserve">TC-PBL-017</t>
  </si>
  <si>
    <t xml:space="preserve">Kirim ulang email verifikasi</t>
  </si>
  <si>
    <t xml:space="preserve">1. Di /akun/profil tekan "Kirim ulang email verifikasi"</t>
  </si>
  <si>
    <t xml:space="preserve">Email baru terkirim; tautan lama tidak berlaku lagi.</t>
  </si>
  <si>
    <t xml:space="preserve">TC-PBL-018</t>
  </si>
  <si>
    <t xml:space="preserve">Ubah nama, foto, dan sandi</t>
  </si>
  <si>
    <t xml:space="preserve">Login sebagai pembeli</t>
  </si>
  <si>
    <t xml:space="preserve">1. Buka /akun/profil
2. Ubah nama &amp; unggah foto
3. Ubah sandi (isi sandi lama + baru)</t>
  </si>
  <si>
    <t xml:space="preserve">Foto JPG &lt; 2 MB</t>
  </si>
  <si>
    <t xml:space="preserve">Perubahan tersimpan; sandi lama tidak berlaku lagi.</t>
  </si>
  <si>
    <t xml:space="preserve">TC-PBL-019</t>
  </si>
  <si>
    <t xml:space="preserve">Urutkan toko terdekat</t>
  </si>
  <si>
    <t xml:space="preserve">Izin lokasi browser diberikan</t>
  </si>
  <si>
    <t xml:space="preserve">1. Buka beranda
2. Tekan "Gunakan lokasi saya"
3. Izinkan lokasi</t>
  </si>
  <si>
    <t xml:space="preserve">Lokasi di kota yang ada tokonya</t>
  </si>
  <si>
    <t xml:space="preserve">Produk/toko terdekat tampil lebih dulu dengan jarak (km).</t>
  </si>
  <si>
    <t xml:space="preserve">TC-PBL-020</t>
  </si>
  <si>
    <t xml:space="preserve">Izin lokasi ditolak</t>
  </si>
  <si>
    <t xml:space="preserve">1. Tekan "Gunakan lokasi saya"
2. Tolak izin</t>
  </si>
  <si>
    <t xml:space="preserve">Katalog tetap tampil normal + pesan yang menjelaskan cara memilih lokasi manual.</t>
  </si>
  <si>
    <t xml:space="preserve">TC-PBL-021</t>
  </si>
  <si>
    <t xml:space="preserve">Cari kata kunci + filter kategori &amp; harga</t>
  </si>
  <si>
    <t xml:space="preserve">1. Buka /shop
2. Cari "keripik"
3. Pilih kategori &amp; rentang harga</t>
  </si>
  <si>
    <t xml:space="preserve">keripik, Rp10.000-50.000</t>
  </si>
  <si>
    <t xml:space="preserve">Hanya produk sesuai kata kunci, kategori, dan rentang harga yang tampil.</t>
  </si>
  <si>
    <t xml:space="preserve">TC-PBL-022</t>
  </si>
  <si>
    <t xml:space="preserve">Kata kunci tidak ditemukan / karakter khusus</t>
  </si>
  <si>
    <t xml:space="preserve">1. Cari "&lt;script&gt;alert(1)&lt;/script&gt;" lalu "zzzzqq"</t>
  </si>
  <si>
    <t xml:space="preserve">Teks berisi tag HTML</t>
  </si>
  <si>
    <t xml:space="preserve">Tidak ada skrip berjalan; tampil pesan "tidak ditemukan".</t>
  </si>
  <si>
    <t xml:space="preserve">TC-PBL-023</t>
  </si>
  <si>
    <t xml:space="preserve">Urut harga termurah / terbaru / terlaris</t>
  </si>
  <si>
    <t xml:space="preserve">1. Di /shop pilih urutan: termurah, termahal, terbaru, terlaris</t>
  </si>
  <si>
    <t xml:space="preserve">Urutan daftar berubah sesuai pilihan.</t>
  </si>
  <si>
    <t xml:space="preserve">TC-PBL-024</t>
  </si>
  <si>
    <t xml:space="preserve">Telusuri lewat kategori</t>
  </si>
  <si>
    <t xml:space="preserve">1. Di beranda tekan ikon salah satu kategori</t>
  </si>
  <si>
    <t xml:space="preserve">Katalog tersaring ke kategori itu; ikon tampil benar.</t>
  </si>
  <si>
    <t xml:space="preserve">TC-PBL-025</t>
  </si>
  <si>
    <t xml:space="preserve">Buka halaman toko</t>
  </si>
  <si>
    <t xml:space="preserve">1. Buka /toko/{slug}</t>
  </si>
  <si>
    <t xml:space="preserve">Slug toko aktif</t>
  </si>
  <si>
    <t xml:space="preserve">Profil, rating, lencana, dan produk toko tampil; produk nonaktif tidak tampil.</t>
  </si>
  <si>
    <t xml:space="preserve">TC-PBL-026</t>
  </si>
  <si>
    <t xml:space="preserve">Pilih varian &amp; add-on</t>
  </si>
  <si>
    <t xml:space="preserve">Produk punya varian + add-on</t>
  </si>
  <si>
    <t xml:space="preserve">1. Buka detail produk
2. Pilih varian lalu add-on
3. Tambah ke keranjang</t>
  </si>
  <si>
    <t xml:space="preserve">Harga berubah sesuai pilihan; keranjang mencatat varian &amp; add-on yang benar.</t>
  </si>
  <si>
    <t xml:space="preserve">TC-PBL-027</t>
  </si>
  <si>
    <t xml:space="preserve">Simpan &amp; hapus favorit</t>
  </si>
  <si>
    <t xml:space="preserve">1. Tekan ♥ di kartu produk
2. Buka /favorit
3. Tekan ♥ lagi</t>
  </si>
  <si>
    <t xml:space="preserve">Produk muncul di Favorit lalu hilang saat ditekan lagi.</t>
  </si>
  <si>
    <t xml:space="preserve">TC-PBL-028</t>
  </si>
  <si>
    <t xml:space="preserve">Tekan ♥ tanpa login</t>
  </si>
  <si>
    <t xml:space="preserve">1. Tekan ♥</t>
  </si>
  <si>
    <t xml:space="preserve">Diminta masuk dulu; setelah masuk kembali ke halaman semula.</t>
  </si>
  <si>
    <t xml:space="preserve">TC-PBL-029</t>
  </si>
  <si>
    <t xml:space="preserve">Ikuti toko &amp; lihat produk baru</t>
  </si>
  <si>
    <t xml:space="preserve">1. Buka halaman toko, tekan Ikuti
2. Penjual menambah produk baru
3. Buka beranda</t>
  </si>
  <si>
    <t xml:space="preserve">Deret "Baru dari toko yang kamu ikuti" menampilkan produk baru tersebut.</t>
  </si>
  <si>
    <t xml:space="preserve">TC-PBL-030</t>
  </si>
  <si>
    <t xml:space="preserve">Label &amp; urutan terlaris</t>
  </si>
  <si>
    <t xml:space="preserve">Ada beberapa pesanan lunas</t>
  </si>
  <si>
    <t xml:space="preserve">1. Buka beranda dan /shop?urut=terlaris</t>
  </si>
  <si>
    <t xml:space="preserve">Produk paling banyak terjual di urutan atas; teks "x terjual" sesuai jumlah lunas.</t>
  </si>
  <si>
    <t xml:space="preserve">TC-PBL-031</t>
  </si>
  <si>
    <t xml:space="preserve">Lencana tampil setelah diisi</t>
  </si>
  <si>
    <t xml:space="preserve">Penjual mengisi label produk; dokumen Halal/P-IRT diverifikasi admin</t>
  </si>
  <si>
    <t xml:space="preserve">1. Penjual centang "Buatan tangan" + isi nomor P-IRT
2. Admin verifikasi dokumen P-IRT
3. Buka detail produk</t>
  </si>
  <si>
    <t xml:space="preserve">No. P-IRT 2063273010123-27</t>
  </si>
  <si>
    <t xml:space="preserve">Lencana tampil; nomor P-IRT/Halal hanya bertanda ✓ setelah diverifikasi admin.</t>
  </si>
  <si>
    <t xml:space="preserve">TC-PBL-032</t>
  </si>
  <si>
    <t xml:space="preserve">Bagikan via WA</t>
  </si>
  <si>
    <t xml:space="preserve">Buka dari HP</t>
  </si>
  <si>
    <t xml:space="preserve">1. Di detail produk tekan Bagikan &gt; WhatsApp</t>
  </si>
  <si>
    <t xml:space="preserve">WhatsApp terbuka dengan pesan berisi nama, harga, dan tautan produk.</t>
  </si>
  <si>
    <t xml:space="preserve">TC-PBL-033</t>
  </si>
  <si>
    <t xml:space="preserve">Ubah jumlah &amp; Beli Langsung</t>
  </si>
  <si>
    <t xml:space="preserve">1. Tambah produk ke keranjang, ubah jumlah
2. Di produk lain tekan Beli sekarang</t>
  </si>
  <si>
    <t xml:space="preserve">Jumlah 3</t>
  </si>
  <si>
    <t xml:space="preserve">Subtotal ikut berubah; Beli Langsung membawa ke checkout hanya untuk produk itu tanpa mengubah keranjang.</t>
  </si>
  <si>
    <t xml:space="preserve">TC-PBL-034</t>
  </si>
  <si>
    <t xml:space="preserve">Jumlah melebihi stok</t>
  </si>
  <si>
    <t xml:space="preserve">Stok produk 2</t>
  </si>
  <si>
    <t xml:space="preserve">1. Tambah 5 ke keranjang</t>
  </si>
  <si>
    <t xml:space="preserve">Jumlah 5</t>
  </si>
  <si>
    <t xml:space="preserve">Ditolak / dibatasi ke stok tersedia dengan pesan yang jelas.</t>
  </si>
  <si>
    <t xml:space="preserve">TC-PBL-035</t>
  </si>
  <si>
    <t xml:space="preserve">Simpan alamat dari checkout</t>
  </si>
  <si>
    <t xml:space="preserve">Login sebagai pembeli; belum punya alamat tersimpan</t>
  </si>
  <si>
    <t xml:space="preserve">1. Checkout, isi alamat baru
2. Centang "Simpan alamat ini", beri nama "Rumah"
3. Buat pesanan
4. Checkout lagi</t>
  </si>
  <si>
    <t xml:space="preserve">Label: Rumah</t>
  </si>
  <si>
    <t xml:space="preserve">Alamat tersimpan di /akun/alamat dan bisa dipilih satu ketukan di checkout berikutnya; tidak tersimpan ganda.</t>
  </si>
  <si>
    <t xml:space="preserve">TC-PBL-036</t>
  </si>
  <si>
    <t xml:space="preserve">Ongkir dalam kecamatan / kota / luar kota</t>
  </si>
  <si>
    <t xml:space="preserve">Toko mengatur tarif bertingkat</t>
  </si>
  <si>
    <t xml:space="preserve">1. Checkout dengan kecamatan sama dengan toko
2. Ganti ke kecamatan lain di kota yang sama
3. Ganti ke kota lain</t>
  </si>
  <si>
    <t xml:space="preserve">Tarif toko: 5.000 / 10.000 / 20.000</t>
  </si>
  <si>
    <t xml:space="preserve">Ongkir di ringkasan berubah sesuai tarif masing-masing.</t>
  </si>
  <si>
    <t xml:space="preserve">TC-PBL-037</t>
  </si>
  <si>
    <t xml:space="preserve">Bayar sampai lunas</t>
  </si>
  <si>
    <t xml:space="preserve">Kunci sandbox Duitku terpasang</t>
  </si>
  <si>
    <t xml:space="preserve">1. Buat pesanan
2. Pilih metode di halaman Duitku
3. Selesaikan pembayaran sandbox</t>
  </si>
  <si>
    <t xml:space="preserve">VA sandbox</t>
  </si>
  <si>
    <t xml:space="preserve">Status pesanan menjadi Lunas otomatis lewat callback; muncul di panel penjual.</t>
  </si>
  <si>
    <t xml:space="preserve">TC-PBL-038</t>
  </si>
  <si>
    <t xml:space="preserve">Callback palsu (tanda tangan salah)</t>
  </si>
  <si>
    <t xml:space="preserve">1. Kirim POST ke /payment/callback dengan signature salah</t>
  </si>
  <si>
    <t xml:space="preserve">signature acak</t>
  </si>
  <si>
    <t xml:space="preserve">Ditolak; status pesanan tidak berubah.</t>
  </si>
  <si>
    <t xml:space="preserve">TC-PBL-039</t>
  </si>
  <si>
    <t xml:space="preserve">Pakai voucher yang sah</t>
  </si>
  <si>
    <t xml:space="preserve">Voucher aktif dengan minimal belanja</t>
  </si>
  <si>
    <t xml:space="preserve">1. Di checkout isi kode voucher, tekan Pakai</t>
  </si>
  <si>
    <t xml:space="preserve">Kode: HEMAT5 (min. belanja terpenuhi)</t>
  </si>
  <si>
    <t xml:space="preserve">Potongan tampil di ringkasan &amp; total berkurang; tagihan Duitku = total setelah potongan.</t>
  </si>
  <si>
    <t xml:space="preserve">TC-PBL-040</t>
  </si>
  <si>
    <t xml:space="preserve">Voucher di bawah minimal / kedaluwarsa / kuota habis</t>
  </si>
  <si>
    <t xml:space="preserve">1. Pakai voucher dengan belanja di bawah minimal
2. Pakai voucher kedaluwarsa</t>
  </si>
  <si>
    <t xml:space="preserve">Ditolak dengan alasan yang jelas; total tidak berubah.</t>
  </si>
  <si>
    <t xml:space="preserve">TC-PBL-041</t>
  </si>
  <si>
    <t xml:space="preserve">Voucher "1x per pembeli" dipakai lagi</t>
  </si>
  <si>
    <t xml:space="preserve">Sudah pernah memakai voucher itu</t>
  </si>
  <si>
    <t xml:space="preserve">1. Pakai kode yang sama di pesanan berikutnya</t>
  </si>
  <si>
    <t xml:space="preserve">Ditolak: "sudah pernah kamu pakai".</t>
  </si>
  <si>
    <t xml:space="preserve">TC-PBL-042</t>
  </si>
  <si>
    <t xml:space="preserve">Beli dari 2 toko sekali bayar</t>
  </si>
  <si>
    <t xml:space="preserve">Keranjang berisi produk dari 2 toko</t>
  </si>
  <si>
    <t xml:space="preserve">1. Checkout
2. Periksa ringkasan per toko
3. Buat pesanan &amp; bayar</t>
  </si>
  <si>
    <t xml:space="preserve">Terbentuk 2 pesanan (1 per toko) dengan 1 tagihan TG-...; setelah bayar keduanya Lunas.</t>
  </si>
  <si>
    <t xml:space="preserve">TC-PBL-043</t>
  </si>
  <si>
    <t xml:space="preserve">Pesan PO dengan DP lalu lunasi</t>
  </si>
  <si>
    <t xml:space="preserve">Produk PO dengan DP 50%</t>
  </si>
  <si>
    <t xml:space="preserve">1. Pilih tanggal kirim di checkout
2. Bayar DP
3. Penjual klik "Ingatkan pelunasan"
4. Pembeli bayar pelunasan</t>
  </si>
  <si>
    <t xml:space="preserve">Tanggal ≥ lama produksi</t>
  </si>
  <si>
    <t xml:space="preserve">Yang dibayar pertama = DP; penjual tidak bisa menandai Dikirim sebelum pelunasan masuk.</t>
  </si>
  <si>
    <t xml:space="preserve">TC-PBL-044</t>
  </si>
  <si>
    <t xml:space="preserve">Tanggal terlalu cepat / kuota harian penuh</t>
  </si>
  <si>
    <t xml:space="preserve">Kuota harian 2 sudah terpakai</t>
  </si>
  <si>
    <t xml:space="preserve">1. Pilih tanggal sebelum lama produksi
2. Pilih tanggal yang kuotanya penuh</t>
  </si>
  <si>
    <t xml:space="preserve">Ditolak dengan pesan tanggal tidak tersedia.</t>
  </si>
  <si>
    <t xml:space="preserve">TC-PBL-045</t>
  </si>
  <si>
    <t xml:space="preserve">Lihat riwayat</t>
  </si>
  <si>
    <t xml:space="preserve">Login sebagai pembeli; punya beberapa pesanan</t>
  </si>
  <si>
    <t xml:space="preserve">1. Buka /akun/pesanan
2. Buka salah satu pesanan</t>
  </si>
  <si>
    <t xml:space="preserve">Semua pesanan tampil dengan status terkini dan riwayat perubahan status.</t>
  </si>
  <si>
    <t xml:space="preserve">TC-PBL-046</t>
  </si>
  <si>
    <t xml:space="preserve">Batalkan pesanan belum dibayar</t>
  </si>
  <si>
    <t xml:space="preserve">Pesanan belum dibayar</t>
  </si>
  <si>
    <t xml:space="preserve">1. Buka pesanan, tekan Batalkan, pilih alasan</t>
  </si>
  <si>
    <t xml:space="preserve">Alasan: Salah pilih varian</t>
  </si>
  <si>
    <t xml:space="preserve">Status Dibatalkan; stok produk kembali.</t>
  </si>
  <si>
    <t xml:space="preserve">TC-PBL-047</t>
  </si>
  <si>
    <t xml:space="preserve">Konfirmasi diterima</t>
  </si>
  <si>
    <t xml:space="preserve">Pesanan berstatus Dikirim</t>
  </si>
  <si>
    <t xml:space="preserve">1. Buka pesanan, tekan "Pesanan sudah diterima"</t>
  </si>
  <si>
    <t xml:space="preserve">Status Selesai; tombol Beri ulasan muncul; dana penjual masuk antrean pencairan.</t>
  </si>
  <si>
    <t xml:space="preserve">TC-PBL-048</t>
  </si>
  <si>
    <t xml:space="preserve">Ajukan refund</t>
  </si>
  <si>
    <t xml:space="preserve">Ada pesanan lunas (bayar lewat sandbox Duitku)</t>
  </si>
  <si>
    <t xml:space="preserve">1. Buka pesanan, tekan Ajukan pengembalian dana
2. Isi alasan &amp; unggah foto</t>
  </si>
  <si>
    <t xml:space="preserve">Foto JPG</t>
  </si>
  <si>
    <t xml:space="preserve">Pengajuan tercatat; penjual melihatnya di /seller/refund.</t>
  </si>
  <si>
    <t xml:space="preserve">TC-PBL-049</t>
  </si>
  <si>
    <t xml:space="preserve">Tulis ulasan dengan foto</t>
  </si>
  <si>
    <t xml:space="preserve">Pesanan Selesai</t>
  </si>
  <si>
    <t xml:space="preserve">1. Tekan Beri ulasan
2. Isi bintang, teks, unggah 2 foto</t>
  </si>
  <si>
    <t xml:space="preserve">4 bintang + 2 foto</t>
  </si>
  <si>
    <t xml:space="preserve">Ulasan &amp; foto tampil di halaman produk; rating produk &amp; toko terbarui.</t>
  </si>
  <si>
    <t xml:space="preserve">TC-PBL-050</t>
  </si>
  <si>
    <t xml:space="preserve">Ulas pesanan yang belum selesai</t>
  </si>
  <si>
    <t xml:space="preserve">Pesanan masih Dikirim</t>
  </si>
  <si>
    <t xml:space="preserve">1. Buka tautan ulasan secara langsung</t>
  </si>
  <si>
    <t xml:space="preserve">Ditolak; ulasan hanya untuk pesanan selesai.</t>
  </si>
  <si>
    <t xml:space="preserve">TC-PBL-051</t>
  </si>
  <si>
    <t xml:space="preserve">Tanya toko dari halaman produk</t>
  </si>
  <si>
    <t xml:space="preserve">1. Di detail produk tekan Tanya toko
2. Kirim pesan + gambar</t>
  </si>
  <si>
    <t xml:space="preserve">Pesan &amp; gambar sampai di inbox penjual; balasan penjual tampil di sisi pembeli.</t>
  </si>
  <si>
    <t xml:space="preserve">TC-PBL-052</t>
  </si>
  <si>
    <t xml:space="preserve">Lencana notifikasi</t>
  </si>
  <si>
    <t xml:space="preserve">1. Penjual mengubah status pesanan
2. Pembeli membuka situs</t>
  </si>
  <si>
    <t xml:space="preserve">Lencana angka muncul; hilang setelah dibuka.</t>
  </si>
  <si>
    <t xml:space="preserve">TC-PBL-053</t>
  </si>
  <si>
    <t xml:space="preserve">Kabar status pesanan via WA</t>
  </si>
  <si>
    <t xml:space="preserve">1. Bayar pesanan
2. Penjual tandai Dikirim</t>
  </si>
  <si>
    <t xml:space="preserve">Pembeli menerima WA "pembayaran diterima" &amp; "pesanan dikirim"; tercatat di Admin &gt; Pengaturan &gt; Notifikasi.</t>
  </si>
  <si>
    <t xml:space="preserve">TC-PBL-054</t>
  </si>
  <si>
    <t xml:space="preserve">Gerbang WA error / tidak terhubung</t>
  </si>
  <si>
    <t xml:space="preserve">Api_Whatsapp gagal (mis. layanan WA dimatikan sementara)</t>
  </si>
  <si>
    <t xml:space="preserve">1. Bayar pesanan</t>
  </si>
  <si>
    <t xml:space="preserve">Pesanan tetap Lunas &amp; diproses normal; di Admin &gt; Pengaturan &gt; Notifikasi tercatat "gagal" beserta pesan galatnya; tidak ada halaman galat.</t>
  </si>
  <si>
    <t xml:space="preserve">TC-PBL-055</t>
  </si>
  <si>
    <t xml:space="preserve">HP / mode responsif 360px</t>
  </si>
  <si>
    <t xml:space="preserve">1. Buka beranda, katalog, detail produk, checkout</t>
  </si>
  <si>
    <t xml:space="preserve">Lebar 360px</t>
  </si>
  <si>
    <t xml:space="preserve">Tampilan HP (tab bar bawah) tanpa geser horizontal; tombol mudah ditekan.</t>
  </si>
  <si>
    <t xml:space="preserve">TC-PBL-056</t>
  </si>
  <si>
    <t xml:space="preserve">Pasang ke layar utama &amp; buka offline</t>
  </si>
  <si>
    <t xml:space="preserve">Chrome Android, HTTPS</t>
  </si>
  <si>
    <t xml:space="preserve">1. Buka situs, pilih "Tambahkan ke layar utama"
2. Matikan internet, buka lagi</t>
  </si>
  <si>
    <t xml:space="preserve">Ikon terpasang; saat offline muncul halaman offline yang ramah, bukan galat browser.</t>
  </si>
  <si>
    <t xml:space="preserve">TC-PBL-057</t>
  </si>
  <si>
    <t xml:space="preserve">Mode hemat kuota</t>
  </si>
  <si>
    <t xml:space="preserve">1. Aktifkan Hemat kuota di pengaturan tampilan
2. Muat ulang halaman</t>
  </si>
  <si>
    <t xml:space="preserve">Font web tidak dimuat; halaman lebih ringan; pilihan tersimpan.</t>
  </si>
  <si>
    <t xml:space="preserve">TC-PBL-058</t>
  </si>
  <si>
    <t xml:space="preserve">Huruf besar + bahasa Jawa/Sunda</t>
  </si>
  <si>
    <t xml:space="preserve">1. Pilih Ukuran huruf: Besar
2. Pilih Bahasa: Jawa, lalu Sunda</t>
  </si>
  <si>
    <t xml:space="preserve">Teks membesar; tombol utama (keranjang, beli, checkout) berganti bahasa; pilihan bertahan setelah muat ulang.</t>
  </si>
  <si>
    <t xml:space="preserve">TC-PJL-001</t>
  </si>
  <si>
    <t xml:space="preserve">Buka toko</t>
  </si>
  <si>
    <t xml:space="preserve">Login sebagai pembeli; email sudah diverifikasi</t>
  </si>
  <si>
    <t xml:space="preserve">1. Buka /akun/buka_toko
2. Isi nama toko, WA, alamat, logo
3. Simpan</t>
  </si>
  <si>
    <t xml:space="preserve">Nama toko unik</t>
  </si>
  <si>
    <t xml:space="preserve">Toko dibuat dan menunggu persetujuan admin; panel penjual bisa dibuka.</t>
  </si>
  <si>
    <t xml:space="preserve">TC-PJL-002</t>
  </si>
  <si>
    <t xml:space="preserve">Nama toko sudah dipakai</t>
  </si>
  <si>
    <t xml:space="preserve">1. Isi nama toko yang sudah ada</t>
  </si>
  <si>
    <t xml:space="preserve">Ditolak dengan pesan nama sudah dipakai; logo yang terlanjur diunggah tidak tertinggal.</t>
  </si>
  <si>
    <t xml:space="preserve">TC-PJL-003</t>
  </si>
  <si>
    <t xml:space="preserve">Atur profil &amp; titik peta</t>
  </si>
  <si>
    <t xml:space="preserve">Login sebagai penjual dengan toko aktif</t>
  </si>
  <si>
    <t xml:space="preserve">1. Buka /seller/profile
2. Ubah deskripsi, geser pin di peta
3. Simpan</t>
  </si>
  <si>
    <t xml:space="preserve">Tersimpan; toko muncul di "dekat saya" sesuai titik.</t>
  </si>
  <si>
    <t xml:space="preserve">TC-PJL-004</t>
  </si>
  <si>
    <t xml:space="preserve">Isi rekening</t>
  </si>
  <si>
    <t xml:space="preserve">1. Buka /seller/pendapatan
2. Isi bank, nomor, atas nama</t>
  </si>
  <si>
    <t xml:space="preserve">Tersimpan; dipakai admin saat pencairan.</t>
  </si>
  <si>
    <t xml:space="preserve">TC-PJL-005</t>
  </si>
  <si>
    <t xml:space="preserve">Checklist langkah awal</t>
  </si>
  <si>
    <t xml:space="preserve">Toko baru</t>
  </si>
  <si>
    <t xml:space="preserve">1. Buka /seller/mulai
2. Selesaikan tiap langkah lewat tautannya</t>
  </si>
  <si>
    <t xml:space="preserve">Langkah yang selesai bercentang; panduan hilang dari dasbor saat semua selesai.</t>
  </si>
  <si>
    <t xml:space="preserve">TC-PJL-006</t>
  </si>
  <si>
    <t xml:space="preserve">Unggah dokumen NIB</t>
  </si>
  <si>
    <t xml:space="preserve">1. Buka /seller/legalitas
2. Pilih NIB, isi nomor, unggah PDF
3. Simpan</t>
  </si>
  <si>
    <t xml:space="preserve">PDF &lt; 5 MB</t>
  </si>
  <si>
    <t xml:space="preserve">Status "Menunggu verifikasi"; dokumen tidak bisa dibuka lewat URL publik.</t>
  </si>
  <si>
    <t xml:space="preserve">TC-PJL-007</t>
  </si>
  <si>
    <t xml:space="preserve">Akses dokumen toko lain</t>
  </si>
  <si>
    <t xml:space="preserve">Tahu ID dokumen toko lain</t>
  </si>
  <si>
    <t xml:space="preserve">1. Login sebagai penjual lain
2. Buka URL berkas dokumen toko A</t>
  </si>
  <si>
    <t xml:space="preserve">Ditolak (404/403); berkas tidak terunduh.</t>
  </si>
  <si>
    <t xml:space="preserve">TC-PJL-008</t>
  </si>
  <si>
    <t xml:space="preserve">Liburkan toko</t>
  </si>
  <si>
    <t xml:space="preserve">1. Buka /seller/libur
2. Atur mulai hari ini, buka 3 hari lagi, isi pesan
3. Pembeli mencoba checkout produk toko</t>
  </si>
  <si>
    <t xml:space="preserve">Pesan: Mudik</t>
  </si>
  <si>
    <t xml:space="preserve">Halaman toko &amp; produk menampilkan info libur; checkout ditolak; toko buka otomatis setelah tanggal.</t>
  </si>
  <si>
    <t xml:space="preserve">TC-PJL-009</t>
  </si>
  <si>
    <t xml:space="preserve">Libur lebih dari 60 hari</t>
  </si>
  <si>
    <t xml:space="preserve">1. Atur libur 70 hari</t>
  </si>
  <si>
    <t xml:space="preserve">Ditolak dengan pesan batas 60 hari.</t>
  </si>
  <si>
    <t xml:space="preserve">TC-PJL-010</t>
  </si>
  <si>
    <t xml:space="preserve">Tambah &amp; nonaktifkan produk</t>
  </si>
  <si>
    <t xml:space="preserve">1. Buka /seller/form
2. Isi nama, harga, stok, foto
3. Simpan, lalu nonaktifkan</t>
  </si>
  <si>
    <t xml:space="preserve">Produk tampil di katalog; hilang setelah dinonaktifkan.</t>
  </si>
  <si>
    <t xml:space="preserve">TC-PJL-011</t>
  </si>
  <si>
    <t xml:space="preserve">Tambah varian berfoto</t>
  </si>
  <si>
    <t xml:space="preserve">1. Di form produk tambah 2 varian dengan harga &amp; foto berbeda</t>
  </si>
  <si>
    <t xml:space="preserve">Pembeli bisa memilih varian; foto &amp; harga berganti sesuai varian.</t>
  </si>
  <si>
    <t xml:space="preserve">TC-PJL-012</t>
  </si>
  <si>
    <t xml:space="preserve">Stok berkurang &amp; kembali</t>
  </si>
  <si>
    <t xml:space="preserve">Stok 10</t>
  </si>
  <si>
    <t xml:space="preserve">1. Pembeli membeli 2 &amp; membayar
2. Penjual membatalkan pesanan itu</t>
  </si>
  <si>
    <t xml:space="preserve">Stok jadi 8 setelah lunas, lalu kembali 10 setelah dibatalkan.</t>
  </si>
  <si>
    <t xml:space="preserve">TC-PJL-013</t>
  </si>
  <si>
    <t xml:space="preserve">Cari produk di panel</t>
  </si>
  <si>
    <t xml:space="preserve">1. Di panel produk ketik sebagian nama, ubah urutan</t>
  </si>
  <si>
    <t xml:space="preserve">Daftar tersaring &amp; terurut sesuai pilihan.</t>
  </si>
  <si>
    <t xml:space="preserve">TC-PJL-014</t>
  </si>
  <si>
    <t xml:space="preserve">Buat deskripsi dengan AI</t>
  </si>
  <si>
    <t xml:space="preserve">config/ai.php berisi kunci API</t>
  </si>
  <si>
    <t xml:space="preserve">1. Di form produk isi nama &amp; foto
2. Tekan tombol AI</t>
  </si>
  <si>
    <t xml:space="preserve">Deskripsi terisi otomatis dan masih bisa diubah sebelum disimpan.</t>
  </si>
  <si>
    <t xml:space="preserve">TC-PJL-015</t>
  </si>
  <si>
    <t xml:space="preserve">Unggah foto besar</t>
  </si>
  <si>
    <t xml:space="preserve">1. Unggah foto 8 MB dari kamera HP</t>
  </si>
  <si>
    <t xml:space="preserve">JPG 8 MB</t>
  </si>
  <si>
    <t xml:space="preserve">Foto tersimpan jauh lebih kecil, tidak terbalik orientasinya.</t>
  </si>
  <si>
    <t xml:space="preserve">TC-PJL-016</t>
  </si>
  <si>
    <t xml:space="preserve">Stok di bawah ambang</t>
  </si>
  <si>
    <t xml:space="preserve">Ambang stok 3 (Admin &gt; Pengaturan)</t>
  </si>
  <si>
    <t xml:space="preserve">1. Pembeli membeli sampai stok tersisa 2</t>
  </si>
  <si>
    <t xml:space="preserve">Penjual mendapat WA &amp; kartu peringatan di dasbor.</t>
  </si>
  <si>
    <t xml:space="preserve">TC-PJL-017</t>
  </si>
  <si>
    <t xml:space="preserve">Impor Excel</t>
  </si>
  <si>
    <t xml:space="preserve">1. Buka /seller/massal, unduh template
2. Isi 5 baris di Excel
3. Unggah</t>
  </si>
  <si>
    <t xml:space="preserve">5 produk</t>
  </si>
  <si>
    <t xml:space="preserve">5 produk tercipta; ringkasan berhasil/gagal per baris.</t>
  </si>
  <si>
    <t xml:space="preserve">TC-PJL-018</t>
  </si>
  <si>
    <t xml:space="preserve">Baris berisi data salah</t>
  </si>
  <si>
    <t xml:space="preserve">1. Unggah berkas dengan harga kosong / huruf di kolom stok</t>
  </si>
  <si>
    <t xml:space="preserve">Baris rusak</t>
  </si>
  <si>
    <t xml:space="preserve">Baris rusak dilewati dengan alasan per baris; baris benar tetap masuk.</t>
  </si>
  <si>
    <t xml:space="preserve">TC-PJL-019</t>
  </si>
  <si>
    <t xml:space="preserve">Duplikat produk</t>
  </si>
  <si>
    <t xml:space="preserve">1. Tekan Duplikat pada sebuah produk</t>
  </si>
  <si>
    <t xml:space="preserve">Salinan dibuat dalam keadaan nonaktif untuk diedit dulu.</t>
  </si>
  <si>
    <t xml:space="preserve">TC-PJL-020</t>
  </si>
  <si>
    <t xml:space="preserve">Harga turun sesuai jumlah</t>
  </si>
  <si>
    <t xml:space="preserve">Produk: 1-9 Rp10.000; ≥10 Rp8.000</t>
  </si>
  <si>
    <t xml:space="preserve">1. Tambah 9 ke keranjang
2. Ubah jadi 10</t>
  </si>
  <si>
    <t xml:space="preserve">Harga satuan berubah menjadi Rp8.000 saat jumlah 10.</t>
  </si>
  <si>
    <t xml:space="preserve">TC-PJL-021</t>
  </si>
  <si>
    <t xml:space="preserve">Atur produk PO</t>
  </si>
  <si>
    <t xml:space="preserve">1. Di form produk aktifkan Pre-order, isi lama produksi 3 hari, kuota harian 5, DP 50%</t>
  </si>
  <si>
    <t xml:space="preserve">Detail produk menampilkan info PO; tanggal kirim tercepat = hari ini + 3.</t>
  </si>
  <si>
    <t xml:space="preserve">TC-PJL-022</t>
  </si>
  <si>
    <t xml:space="preserve">Proses &amp; batalkan langkah</t>
  </si>
  <si>
    <t xml:space="preserve">Login sebagai penjual dengan toko aktif; Ada pesanan lunas (bayar lewat sandbox Duitku)</t>
  </si>
  <si>
    <t xml:space="preserve">1. Tekan Terima &amp; proses
2. Tekan Undo dalam 15 menit</t>
  </si>
  <si>
    <t xml:space="preserve">Status maju satu langkah lalu kembali saat Undo; Undo hilang setelah 15 menit.</t>
  </si>
  <si>
    <t xml:space="preserve">TC-PJL-023</t>
  </si>
  <si>
    <t xml:space="preserve">Urutan antrean</t>
  </si>
  <si>
    <t xml:space="preserve">Beberapa pesanan dengan status berbeda</t>
  </si>
  <si>
    <t xml:space="preserve">1. Buka /seller/orders</t>
  </si>
  <si>
    <t xml:space="preserve">Pesanan yang perlu tindakan (baru lunas) di atas; pesanan baru memunculkan spanduk "pesanan baru masuk".</t>
  </si>
  <si>
    <t xml:space="preserve">TC-PJL-024</t>
  </si>
  <si>
    <t xml:space="preserve">Atur tarif antar sendiri</t>
  </si>
  <si>
    <t xml:space="preserve">1. Di /seller/profile isi radius &amp; tarif per wilayah</t>
  </si>
  <si>
    <t xml:space="preserve">Tarif berlaku di checkout; alamat di luar jangkauan ditolak dengan pesan jelas.</t>
  </si>
  <si>
    <t xml:space="preserve">TC-PJL-025</t>
  </si>
  <si>
    <t xml:space="preserve">Gratis ongkir tercapai</t>
  </si>
  <si>
    <t xml:space="preserve">Gratis ongkir min. Rp100.000</t>
  </si>
  <si>
    <t xml:space="preserve">1. Checkout dengan subtotal Rp99.999, lalu Rp100.000</t>
  </si>
  <si>
    <t xml:space="preserve">Ongkir 0 hanya saat subtotal ≥ Rp100.000.</t>
  </si>
  <si>
    <t xml:space="preserve">TC-PJL-026</t>
  </si>
  <si>
    <t xml:space="preserve">Tampilkan waktu proses</t>
  </si>
  <si>
    <t xml:space="preserve">Waktu proses 2 hari</t>
  </si>
  <si>
    <t xml:space="preserve">1. Bayar pesanan, buka halaman pesanan</t>
  </si>
  <si>
    <t xml:space="preserve">Tertulis "diproses dalam 2 hari kerja".</t>
  </si>
  <si>
    <t xml:space="preserve">TC-PJL-027</t>
  </si>
  <si>
    <t xml:space="preserve">Kirim foto paket</t>
  </si>
  <si>
    <t xml:space="preserve">Pesanan Diproses</t>
  </si>
  <si>
    <t xml:space="preserve">1. Di chat pesanan unggah foto paket</t>
  </si>
  <si>
    <t xml:space="preserve">Foto tampil di chat sisi pembeli.</t>
  </si>
  <si>
    <t xml:space="preserve">TC-PJL-028</t>
  </si>
  <si>
    <t xml:space="preserve">Penjual batalkan pesanan lunas</t>
  </si>
  <si>
    <t xml:space="preserve">1. Tekan Batalkan, isi alasan</t>
  </si>
  <si>
    <t xml:space="preserve">Alasan: Stok habis</t>
  </si>
  <si>
    <t xml:space="preserve">Status Dibatalkan; stok kembali; pembeli dikabari; refund tercatat.</t>
  </si>
  <si>
    <t xml:space="preserve">TC-PJL-029</t>
  </si>
  <si>
    <t xml:space="preserve">Tombol WA</t>
  </si>
  <si>
    <t xml:space="preserve">Pesanan dengan nomor pembeli</t>
  </si>
  <si>
    <t xml:space="preserve">1. Tekan tombol WhatsApp di detail pesanan</t>
  </si>
  <si>
    <t xml:space="preserve">WA terbuka ke nomor pembeli dengan pesan pembuka berisi nomor pesanan.</t>
  </si>
  <si>
    <t xml:space="preserve">TC-PJL-030</t>
  </si>
  <si>
    <t xml:space="preserve">Kirim dengan resi &amp; lacak</t>
  </si>
  <si>
    <t xml:space="preserve">Kunci agregator diisi di Admin &gt; Pengaturan</t>
  </si>
  <si>
    <t xml:space="preserve">1. Tandai dikirim: pilih kurir dari daftar, isi resi
2. Pembeli buka halaman pesanan</t>
  </si>
  <si>
    <t xml:space="preserve">J&amp;T + resi asli</t>
  </si>
  <si>
    <t xml:space="preserve">Riwayat perjalanan paket tampil berurutan, status terbaru di atas.</t>
  </si>
  <si>
    <t xml:space="preserve">TC-PJL-031</t>
  </si>
  <si>
    <t xml:space="preserve">Tanpa kunci API</t>
  </si>
  <si>
    <t xml:space="preserve">Kunci agregator kosong</t>
  </si>
  <si>
    <t xml:space="preserve">1. Tandai dikirim dengan resi
2. Pembeli buka halaman pesanan</t>
  </si>
  <si>
    <t xml:space="preserve">Tampil tombol "Salin resi" + tautan halaman lacak resmi kurir; tidak ada galat.</t>
  </si>
  <si>
    <t xml:space="preserve">TC-PJL-032</t>
  </si>
  <si>
    <t xml:space="preserve">Cek tarif kurir</t>
  </si>
  <si>
    <t xml:space="preserve">Kunci agregator diisi</t>
  </si>
  <si>
    <t xml:space="preserve">1. Buka /seller/ongkir
2. Isi kode pos asal, tujuan, berat</t>
  </si>
  <si>
    <t xml:space="preserve">40115 → 12950, 1000 g</t>
  </si>
  <si>
    <t xml:space="preserve">Daftar tarif beberapa kurir, termurah di atas; kode pos ≠ 5 angka ditolak.</t>
  </si>
  <si>
    <t xml:space="preserve">TC-PJL-033</t>
  </si>
  <si>
    <t xml:space="preserve">Cetak label &amp; nota</t>
  </si>
  <si>
    <t xml:space="preserve">Ada pesanan Diproses</t>
  </si>
  <si>
    <t xml:space="preserve">1. Buka /seller/cetak, pilih pesanan
2. Cetak label lalu nota (A4 &amp; 58 mm)</t>
  </si>
  <si>
    <t xml:space="preserve">Pratinjau cetak rapi; alamat, isi, dan total benar.</t>
  </si>
  <si>
    <t xml:space="preserve">TC-PJL-034</t>
  </si>
  <si>
    <t xml:space="preserve">WA pesanan lunas</t>
  </si>
  <si>
    <t xml:space="preserve">1. Pembeli membayar pesanan</t>
  </si>
  <si>
    <t xml:space="preserve">Penjual menerima WA berisi nomor pesanan &amp; isi dalam &lt; 1 menit.</t>
  </si>
  <si>
    <t xml:space="preserve">TC-PJL-035</t>
  </si>
  <si>
    <t xml:space="preserve">Balas pesan</t>
  </si>
  <si>
    <t xml:space="preserve">Ada pesan masuk</t>
  </si>
  <si>
    <t xml:space="preserve">1. Buka /seller/pesan, buka percakapan, balas</t>
  </si>
  <si>
    <t xml:space="preserve">Balasan sampai ke pembeli; lencana belum dibaca berkurang.</t>
  </si>
  <si>
    <t xml:space="preserve">TC-PJL-036</t>
  </si>
  <si>
    <t xml:space="preserve">Ada ulasan</t>
  </si>
  <si>
    <t xml:space="preserve">1. Buka /seller/ulasan, tulis balasan</t>
  </si>
  <si>
    <t xml:space="preserve">Balasan tampil di bawah ulasan di halaman produk.</t>
  </si>
  <si>
    <t xml:space="preserve">TC-PJL-037</t>
  </si>
  <si>
    <t xml:space="preserve">Setujui / tolak refund</t>
  </si>
  <si>
    <t xml:space="preserve">Ada pengajuan refund</t>
  </si>
  <si>
    <t xml:space="preserve">1. Buka /seller/refund
2. Setujui satu, tolak satu dengan alasan</t>
  </si>
  <si>
    <t xml:space="preserve">Status refund berubah; pembeli melihat hasil &amp; alasannya.</t>
  </si>
  <si>
    <t xml:space="preserve">TC-PJL-038</t>
  </si>
  <si>
    <t xml:space="preserve">Buat &amp; pakai template</t>
  </si>
  <si>
    <t xml:space="preserve">1. Buka /seller/template, buat "Ready kak"
2. Di chat tekan template</t>
  </si>
  <si>
    <t xml:space="preserve">Teks template masuk ke kotak pesan dalam satu ketukan.</t>
  </si>
  <si>
    <t xml:space="preserve">TC-PJL-039</t>
  </si>
  <si>
    <t xml:space="preserve">Cek pendapatan</t>
  </si>
  <si>
    <t xml:space="preserve">Ada pesanan Selesai</t>
  </si>
  <si>
    <t xml:space="preserve">1. Buka /seller/pendapatan</t>
  </si>
  <si>
    <t xml:space="preserve">Pendapatan bersih = subtotal + ongkir − diskon toko − komisi; status dana (tertahan/siap cair/dicairkan) benar.</t>
  </si>
  <si>
    <t xml:space="preserve">TC-PJL-040</t>
  </si>
  <si>
    <t xml:space="preserve">Catat kas &amp; penjualan otomatis</t>
  </si>
  <si>
    <t xml:space="preserve">1. Buka /seller/pembukuan
2. Catat pengeluaran beli bahan Rp50.000
3. Selesaikan satu pesanan</t>
  </si>
  <si>
    <t xml:space="preserve">Pengeluaran &amp; penjualan marketplace tercatat; saldo kas benar.</t>
  </si>
  <si>
    <t xml:space="preserve">TC-PJL-041</t>
  </si>
  <si>
    <t xml:space="preserve">Lihat &amp; ekspor laporan</t>
  </si>
  <si>
    <t xml:space="preserve">Ada penjualan</t>
  </si>
  <si>
    <t xml:space="preserve">1. Buka /seller/laporan, pilih periode
2. Ekspor Excel</t>
  </si>
  <si>
    <t xml:space="preserve">Grafik omzet, terlaris, jam ramai sesuai data; berkas .xlsx terbuka di Excel.</t>
  </si>
  <si>
    <t xml:space="preserve">TC-PJL-042</t>
  </si>
  <si>
    <t xml:space="preserve">Cetak laporan KUR</t>
  </si>
  <si>
    <t xml:space="preserve">Ada pembukuan ≥ 1 bulan</t>
  </si>
  <si>
    <t xml:space="preserve">1. Buka /seller/laporan/kur, pilih 3 bulan, cetak</t>
  </si>
  <si>
    <t xml:space="preserve">Laba rugi &amp; arus kas rapi dan angkanya cocok dengan pembukuan.</t>
  </si>
  <si>
    <t xml:space="preserve">TC-PJL-043</t>
  </si>
  <si>
    <t xml:space="preserve">Buat voucher toko</t>
  </si>
  <si>
    <t xml:space="preserve">1. Buka /seller/voucher, buat diskon 10% maks Rp20.000, kuota 50</t>
  </si>
  <si>
    <t xml:space="preserve">Voucher berlaku hanya untuk produk toko ini; kuota berkurang tiap dipakai.</t>
  </si>
  <si>
    <t xml:space="preserve">TC-PJL-044</t>
  </si>
  <si>
    <t xml:space="preserve">Selesaikan modul &amp; kuis</t>
  </si>
  <si>
    <t xml:space="preserve">1. Buka /seller/akademi, buka modul
2. Jawab kuis</t>
  </si>
  <si>
    <t xml:space="preserve">Modul ditandai selesai bila lulus kuis; sertifikat bisa dicetak.</t>
  </si>
  <si>
    <t xml:space="preserve">TC-PJL-045</t>
  </si>
  <si>
    <t xml:space="preserve">Skor berubah setelah perbaikan</t>
  </si>
  <si>
    <t xml:space="preserve">Toko tanpa logo</t>
  </si>
  <si>
    <t xml:space="preserve">1. Buka /seller/naik_kelas, catat skor
2. Pasang logo toko
3. Buka lagi</t>
  </si>
  <si>
    <t xml:space="preserve">Skor naik 4 poin; saran berikutnya berubah.</t>
  </si>
  <si>
    <t xml:space="preserve">TC-PJL-046</t>
  </si>
  <si>
    <t xml:space="preserve">Cetak QR toko</t>
  </si>
  <si>
    <t xml:space="preserve">1. Buka /seller/qr, cetak</t>
  </si>
  <si>
    <t xml:space="preserve">QR terpindai kamera HP dan membuka halaman toko.</t>
  </si>
  <si>
    <t xml:space="preserve">TC-ADM-001</t>
  </si>
  <si>
    <t xml:space="preserve">Angka dasbor</t>
  </si>
  <si>
    <t xml:space="preserve">Login sebagai admin</t>
  </si>
  <si>
    <t xml:space="preserve">1. Buka /admin</t>
  </si>
  <si>
    <t xml:space="preserve">Angka pesanan, GMV, toko menunggu, dan antrean kerja sesuai data.</t>
  </si>
  <si>
    <t xml:space="preserve">TC-ADM-002</t>
  </si>
  <si>
    <t xml:space="preserve">Analitik &amp; ekspor</t>
  </si>
  <si>
    <t xml:space="preserve">1. Buka /admin/analitik, pilih periode &amp; wilayah
2. Ekspor Excel</t>
  </si>
  <si>
    <t xml:space="preserve">GMV per periode/wilayah/kategori sesuai pesanan lunas; .xlsx terbuka.</t>
  </si>
  <si>
    <t xml:space="preserve">TC-ADM-003</t>
  </si>
  <si>
    <t xml:space="preserve">Lihat peta</t>
  </si>
  <si>
    <t xml:space="preserve">1. Buka /admin/peta</t>
  </si>
  <si>
    <t xml:space="preserve">Titik toko tampil di peta dengan tingkat aktivitas; toko tanpa titik tidak membuat galat.</t>
  </si>
  <si>
    <t xml:space="preserve">TC-ADM-004</t>
  </si>
  <si>
    <t xml:space="preserve">Setujui toko baru</t>
  </si>
  <si>
    <t xml:space="preserve">Ada toko menunggu</t>
  </si>
  <si>
    <t xml:space="preserve">1. Buka /admin/stores, setujui toko</t>
  </si>
  <si>
    <t xml:space="preserve">Toko aktif &amp; produknya tampil di katalog.</t>
  </si>
  <si>
    <t xml:space="preserve">TC-ADM-005</t>
  </si>
  <si>
    <t xml:space="preserve">Nonaktifkan pengguna</t>
  </si>
  <si>
    <t xml:space="preserve">1. Buka /admin/users, nonaktifkan satu akun
2. Coba masuk dengan akun itu</t>
  </si>
  <si>
    <t xml:space="preserve">Akun tidak bisa masuk.</t>
  </si>
  <si>
    <t xml:space="preserve">TC-ADM-006</t>
  </si>
  <si>
    <t xml:space="preserve">Verifikasi &amp; tolak dokumen</t>
  </si>
  <si>
    <t xml:space="preserve">Ada dokumen menunggu</t>
  </si>
  <si>
    <t xml:space="preserve">1. Buka /admin/verifikasi
2. Setujui NIB satu toko
3. Tolak dokumen lain dengan alasan</t>
  </si>
  <si>
    <t xml:space="preserve">Lencana NIB ✓ muncul di halaman toko; penjual melihat alasan penolakan.</t>
  </si>
  <si>
    <t xml:space="preserve">TC-ADM-007</t>
  </si>
  <si>
    <t xml:space="preserve">Tetapkan pendamping &amp; catat kunjungan</t>
  </si>
  <si>
    <t xml:space="preserve">1. Buka /admin/pendamping, tetapkan pendamping ke toko
2. Pendamping login, buka /pendamping, tulis catatan</t>
  </si>
  <si>
    <t xml:space="preserve">Pendamping hanya bisa membuka toko binaannya; catatan terbaca penjual.</t>
  </si>
  <si>
    <t xml:space="preserve">TC-ADM-008</t>
  </si>
  <si>
    <t xml:space="preserve">Pendamping buka toko bukan binaan</t>
  </si>
  <si>
    <t xml:space="preserve">Login sebagai pendamping</t>
  </si>
  <si>
    <t xml:space="preserve">1. Buka /pendamping/toko/{id toko lain}</t>
  </si>
  <si>
    <t xml:space="preserve">Ditolak (404).</t>
  </si>
  <si>
    <t xml:space="preserve">TC-ADM-009</t>
  </si>
  <si>
    <t xml:space="preserve">Tambah kategori</t>
  </si>
  <si>
    <t xml:space="preserve">1. Buka /admin/categories, tambah kategori + ikon</t>
  </si>
  <si>
    <t xml:space="preserve">Kategori muncul di beranda &amp; form produk.</t>
  </si>
  <si>
    <t xml:space="preserve">TC-ADM-010</t>
  </si>
  <si>
    <t xml:space="preserve">Turunkan &amp; pulihkan produk</t>
  </si>
  <si>
    <t xml:space="preserve">1. Buka /admin/moderasi, turunkan produk dengan alasan
2. Penjual mencoba mengaktifkannya
3. Admin pulihkan</t>
  </si>
  <si>
    <t xml:space="preserve">Produk hilang dari katalog; penjual tidak bisa mengaktifkan sampai dipulihkan admin.</t>
  </si>
  <si>
    <t xml:space="preserve">TC-ADM-011</t>
  </si>
  <si>
    <t xml:space="preserve">Buat banner &amp; halaman promo</t>
  </si>
  <si>
    <t xml:space="preserve">1. Buka /admin/banner, buat banner bertautan promo/pekan-lokal
2. Buat halaman promo slug pekan-lokal
3. Buka beranda &amp; /promo/pekan-lokal</t>
  </si>
  <si>
    <t xml:space="preserve">Banner tampil sesuai jadwal; halaman promo berisi produk sesuai filter.</t>
  </si>
  <si>
    <t xml:space="preserve">TC-ADM-012</t>
  </si>
  <si>
    <t xml:space="preserve">Tambah modul &amp; soal</t>
  </si>
  <si>
    <t xml:space="preserve">1. Buka /admin/akademi, tambah modul + 3 soal</t>
  </si>
  <si>
    <t xml:space="preserve">Modul muncul di Akademi penjual dengan kuisnya.</t>
  </si>
  <si>
    <t xml:space="preserve">TC-ADM-013</t>
  </si>
  <si>
    <t xml:space="preserve">Sembunyikan ulasan dilaporkan</t>
  </si>
  <si>
    <t xml:space="preserve">Ada ulasan dilaporkan pengguna</t>
  </si>
  <si>
    <t xml:space="preserve">1. Buka /admin/moderasi/ulasan, sembunyikan ulasan</t>
  </si>
  <si>
    <t xml:space="preserve">Ulasan hilang dari halaman produk; rating dihitung ulang tanpa ulasan itu.</t>
  </si>
  <si>
    <t xml:space="preserve">TC-ADM-014</t>
  </si>
  <si>
    <t xml:space="preserve">Proses pencairan</t>
  </si>
  <si>
    <t xml:space="preserve">Toko punya saldo siap cair</t>
  </si>
  <si>
    <t xml:space="preserve">1. Buka /admin/keuangan, proses pencairan, isi bukti transfer</t>
  </si>
  <si>
    <t xml:space="preserve">Status dana penjual menjadi Dicairkan; saldo tidak bisa dicairkan dua kali.</t>
  </si>
  <si>
    <t xml:space="preserve">TC-ADM-015</t>
  </si>
  <si>
    <t xml:space="preserve">Ubah komisi tidak mengubah pesanan lama</t>
  </si>
  <si>
    <t xml:space="preserve">Komisi 5%</t>
  </si>
  <si>
    <t xml:space="preserve">1. Buat pesanan lunas
2. Ubah komisi jadi 7,5% di Pengaturan
3. Buat pesanan baru</t>
  </si>
  <si>
    <t xml:space="preserve">Pesanan lama tetap 5%; pesanan baru 7,5%.</t>
  </si>
  <si>
    <t xml:space="preserve">TC-ADM-016</t>
  </si>
  <si>
    <t xml:space="preserve">Admin selesaikan refund</t>
  </si>
  <si>
    <t xml:space="preserve">Refund disetujui penjual</t>
  </si>
  <si>
    <t xml:space="preserve">1. Buka daftar refund admin, tandai sudah ditransfer</t>
  </si>
  <si>
    <t xml:space="preserve">Status refund selesai; pendapatan penjual berkurang sesuai.</t>
  </si>
  <si>
    <t xml:space="preserve">TC-ADM-017</t>
  </si>
  <si>
    <t xml:space="preserve">Pesanan tertunda dicek ulang</t>
  </si>
  <si>
    <t xml:space="preserve">Pesanan yang callback-nya gagal</t>
  </si>
  <si>
    <t xml:space="preserve">1. Jalankan pengecekan status pembayaran</t>
  </si>
  <si>
    <t xml:space="preserve">Status disesuaikan dengan Duitku (lunas/kedaluwarsa) tanpa ubah manual.</t>
  </si>
  <si>
    <t xml:space="preserve">TC-ADM-018</t>
  </si>
  <si>
    <t xml:space="preserve">Sengketa sampai diputus</t>
  </si>
  <si>
    <t xml:space="preserve">Refund ditolak penjual</t>
  </si>
  <si>
    <t xml:space="preserve">1. Pembeli buka sengketa dari halaman pesanan
2. Penjual membalas
3. Admin memutus "menang pembeli"</t>
  </si>
  <si>
    <t xml:space="preserve">Ketiga pihak melihat percakapan; keputusan membuat refund otomatis.</t>
  </si>
  <si>
    <t xml:space="preserve">TC-ADM-019</t>
  </si>
  <si>
    <t xml:space="preserve">Voucher platform berkuota &amp; anggaran</t>
  </si>
  <si>
    <t xml:space="preserve">1. Buka /admin/voucher, buat voucher anggaran Rp100.000
2. Pakai sampai anggaran habis</t>
  </si>
  <si>
    <t xml:space="preserve">Voucher berhenti berlaku saat anggaran/kuota habis; dipakai di checkout multi-toko hanya dihitung sekali.</t>
  </si>
  <si>
    <t xml:space="preserve">TC-ADM-020</t>
  </si>
  <si>
    <t xml:space="preserve">Ubah pengaturan</t>
  </si>
  <si>
    <t xml:space="preserve">1. Buka /admin/pengaturan, ubah komisi &amp; WA admin, simpan</t>
  </si>
  <si>
    <t xml:space="preserve">Nilai baru langsung berlaku; kunci rahasia tidak ditampilkan utuh.</t>
  </si>
  <si>
    <t xml:space="preserve">TC-ADM-021</t>
  </si>
  <si>
    <t xml:space="preserve">Akses pengaturan oleh non-admin</t>
  </si>
  <si>
    <t xml:space="preserve">Login sebagai penjual</t>
  </si>
  <si>
    <t xml:space="preserve">1. Buka /admin/pengaturan</t>
  </si>
  <si>
    <t xml:space="preserve">Ditolak / diarahkan keluar dari panel admin.</t>
  </si>
  <si>
    <t xml:space="preserve">TC-ADM-022</t>
  </si>
  <si>
    <t xml:space="preserve">Kirim pengumuman per wilayah</t>
  </si>
  <si>
    <t xml:space="preserve">1. Buka /admin/broadcast, pilih wilayah, centang WA, kirim
2. Penjual di wilayah itu buka panel</t>
  </si>
  <si>
    <t xml:space="preserve">Spanduk pengumuman tampil hanya untuk penjual di wilayah itu; hilang setelah ditandai dibaca.</t>
  </si>
  <si>
    <t xml:space="preserve">TC-ADM-023</t>
  </si>
  <si>
    <t xml:space="preserve">Aksi admin tercatat</t>
  </si>
  <si>
    <t xml:space="preserve">1. Ubah pengaturan &amp; turunkan produk
2. Buka /admin/pengaturan/audit</t>
  </si>
  <si>
    <t xml:space="preserve">Kedua aksi tercatat dengan nama admin, waktu, dan detail.</t>
  </si>
  <si>
    <t xml:space="preserve">TC-ADM-024</t>
  </si>
  <si>
    <t xml:space="preserve">Buka halaman tidak ada</t>
  </si>
  <si>
    <t xml:space="preserve">1. Buka /halaman-tidak-ada</t>
  </si>
  <si>
    <t xml:space="preserve">Halaman 404 ramah dengan tautan kembali ke beranda.</t>
  </si>
  <si>
    <t xml:space="preserve">ID Bug</t>
  </si>
  <si>
    <t xml:space="preserve">ID Kasus Uji</t>
  </si>
  <si>
    <t xml:space="preserve">Judul Singkat</t>
  </si>
  <si>
    <t xml:space="preserve">Langkah Reproduksi</t>
  </si>
  <si>
    <t xml:space="preserve">Tingkat Keparahan</t>
  </si>
  <si>
    <t xml:space="preserve">Perangkat / Browser</t>
  </si>
  <si>
    <t xml:space="preserve">Lampiran (tautan)</t>
  </si>
  <si>
    <t xml:space="preserve">Status Bug</t>
  </si>
  <si>
    <t xml:space="preserve">Pelapor</t>
  </si>
  <si>
    <t xml:space="preserve">Tanggal Lapor</t>
  </si>
  <si>
    <t xml:space="preserve">Ditangani Oleh</t>
  </si>
  <si>
    <t xml:space="preserve">Tanggal Selesai</t>
  </si>
  <si>
    <t xml:space="preserve">BUG-001</t>
  </si>
  <si>
    <t xml:space="preserve">BUG-002</t>
  </si>
  <si>
    <t xml:space="preserve">BUG-003</t>
  </si>
  <si>
    <t xml:space="preserve">BUG-004</t>
  </si>
  <si>
    <t xml:space="preserve">BUG-005</t>
  </si>
  <si>
    <t xml:space="preserve">BUG-006</t>
  </si>
  <si>
    <t xml:space="preserve">BUG-007</t>
  </si>
  <si>
    <t xml:space="preserve">BUG-008</t>
  </si>
  <si>
    <t xml:space="preserve">BUG-009</t>
  </si>
  <si>
    <t xml:space="preserve">BUG-010</t>
  </si>
  <si>
    <t xml:space="preserve">BUG-011</t>
  </si>
  <si>
    <t xml:space="preserve">BUG-012</t>
  </si>
  <si>
    <t xml:space="preserve">BUG-013</t>
  </si>
  <si>
    <t xml:space="preserve">BUG-014</t>
  </si>
  <si>
    <t xml:space="preserve">BUG-015</t>
  </si>
  <si>
    <t xml:space="preserve">BUG-016</t>
  </si>
  <si>
    <t xml:space="preserve">BUG-017</t>
  </si>
  <si>
    <t xml:space="preserve">BUG-018</t>
  </si>
  <si>
    <t xml:space="preserve">BUG-019</t>
  </si>
  <si>
    <t xml:space="preserve">BUG-020</t>
  </si>
  <si>
    <t xml:space="preserve">BUG-021</t>
  </si>
  <si>
    <t xml:space="preserve">BUG-022</t>
  </si>
  <si>
    <t xml:space="preserve">BUG-023</t>
  </si>
  <si>
    <t xml:space="preserve">BUG-024</t>
  </si>
  <si>
    <t xml:space="preserve">BUG-025</t>
  </si>
  <si>
    <t xml:space="preserve">BUG-026</t>
  </si>
  <si>
    <t xml:space="preserve">BUG-027</t>
  </si>
  <si>
    <t xml:space="preserve">BUG-028</t>
  </si>
  <si>
    <t xml:space="preserve">BUG-029</t>
  </si>
  <si>
    <t xml:space="preserve">BUG-030</t>
  </si>
  <si>
    <t xml:space="preserve">BUG-031</t>
  </si>
  <si>
    <t xml:space="preserve">BUG-032</t>
  </si>
  <si>
    <t xml:space="preserve">BUG-033</t>
  </si>
  <si>
    <t xml:space="preserve">BUG-034</t>
  </si>
  <si>
    <t xml:space="preserve">BUG-035</t>
  </si>
  <si>
    <t xml:space="preserve">BUG-036</t>
  </si>
  <si>
    <t xml:space="preserve">BUG-037</t>
  </si>
  <si>
    <t xml:space="preserve">BUG-038</t>
  </si>
  <si>
    <t xml:space="preserve">BUG-039</t>
  </si>
  <si>
    <t xml:space="preserve">BUG-040</t>
  </si>
  <si>
    <t xml:space="preserve">BUG-041</t>
  </si>
  <si>
    <t xml:space="preserve">BUG-042</t>
  </si>
  <si>
    <t xml:space="preserve">BUG-043</t>
  </si>
  <si>
    <t xml:space="preserve">BUG-044</t>
  </si>
  <si>
    <t xml:space="preserve">BUG-045</t>
  </si>
  <si>
    <t xml:space="preserve">BUG-046</t>
  </si>
  <si>
    <t xml:space="preserve">BUG-047</t>
  </si>
  <si>
    <t xml:space="preserve">BUG-048</t>
  </si>
  <si>
    <t xml:space="preserve">BUG-049</t>
  </si>
  <si>
    <t xml:space="preserve">BUG-050</t>
  </si>
  <si>
    <t xml:space="preserve">BUG-051</t>
  </si>
  <si>
    <t xml:space="preserve">BUG-052</t>
  </si>
  <si>
    <t xml:space="preserve">BUG-053</t>
  </si>
  <si>
    <t xml:space="preserve">BUG-054</t>
  </si>
  <si>
    <t xml:space="preserve">BUG-055</t>
  </si>
  <si>
    <t xml:space="preserve">BUG-056</t>
  </si>
  <si>
    <t xml:space="preserve">BUG-057</t>
  </si>
  <si>
    <t xml:space="preserve">BUG-058</t>
  </si>
  <si>
    <t xml:space="preserve">BUG-059</t>
  </si>
  <si>
    <t xml:space="preserve">BUG-060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</si>
</sst>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COUNTIF('Daftar Fitur'!$B$2:$B$98,A5)</f>
        <v>36</v>
      </c>
      <c r="C5" s="5" t="n">
        <f aca="false">COUNTIFS('Daftar Fitur'!$B$2:$B$98,A5,'Daftar Fitur'!$E$2:$E$98,"Ada")</f>
        <v>36</v>
      </c>
      <c r="D5" s="5" t="n">
        <f aca="false">COUNTIFS('Daftar Fitur'!$B$2:$B$98,A5,'Daftar Fitur'!$E$2:$E$98,"Belum")</f>
        <v>0</v>
      </c>
      <c r="E5" s="6" t="n">
        <f aca="false">IF(B5=0,0,C5/B5)</f>
        <v>1</v>
      </c>
      <c r="F5" s="5" t="n">
        <f aca="false">COUNTIFS('Daftar Fitur'!$B$2:$B$98,A5,'Daftar Fitur'!$F$2:$F$98,"Ya")</f>
        <v>4</v>
      </c>
      <c r="G5" s="5" t="n">
        <f aca="false">COUNTIFS('Daftar Fitur'!$B$2:$B$98,A5,'Daftar Fitur'!$F$2:$F$98,"Ya",'Daftar Fitur'!$E$2:$E$98,"Belum")</f>
        <v>0</v>
      </c>
      <c r="H5" s="5" t="n">
        <f aca="false">COUNTIFS('Daftar Fitur'!$B$2:$B$98,A5,'Daftar Fitur'!$G$2:$G$98,"Ya")</f>
        <v>8</v>
      </c>
    </row>
    <row r="6" customFormat="false" ht="15" hidden="false" customHeight="false" outlineLevel="0" collapsed="false">
      <c r="A6" s="4" t="s">
        <v>11</v>
      </c>
      <c r="B6" s="5" t="n">
        <f aca="false">COUNTIF('Daftar Fitur'!$B$2:$B$98,A6)</f>
        <v>39</v>
      </c>
      <c r="C6" s="5" t="n">
        <f aca="false">COUNTIFS('Daftar Fitur'!$B$2:$B$98,A6,'Daftar Fitur'!$E$2:$E$98,"Ada")</f>
        <v>39</v>
      </c>
      <c r="D6" s="5" t="n">
        <f aca="false">COUNTIFS('Daftar Fitur'!$B$2:$B$98,A6,'Daftar Fitur'!$E$2:$E$98,"Belum")</f>
        <v>0</v>
      </c>
      <c r="E6" s="6" t="n">
        <f aca="false">IF(B6=0,0,C6/B6)</f>
        <v>1</v>
      </c>
      <c r="F6" s="5" t="n">
        <f aca="false">COUNTIFS('Daftar Fitur'!$B$2:$B$98,A6,'Daftar Fitur'!$F$2:$F$98,"Ya")</f>
        <v>9</v>
      </c>
      <c r="G6" s="5" t="n">
        <f aca="false">COUNTIFS('Daftar Fitur'!$B$2:$B$98,A6,'Daftar Fitur'!$F$2:$F$98,"Ya",'Daftar Fitur'!$E$2:$E$98,"Belum")</f>
        <v>0</v>
      </c>
      <c r="H6" s="5" t="n">
        <f aca="false">COUNTIFS('Daftar Fitur'!$B$2:$B$98,A6,'Daftar Fitur'!$G$2:$G$98,"Ya")</f>
        <v>7</v>
      </c>
    </row>
    <row r="7" customFormat="false" ht="15" hidden="false" customHeight="false" outlineLevel="0" collapsed="false">
      <c r="A7" s="4" t="s">
        <v>12</v>
      </c>
      <c r="B7" s="5" t="n">
        <f aca="false">COUNTIF('Daftar Fitur'!$B$2:$B$98,A7)</f>
        <v>22</v>
      </c>
      <c r="C7" s="5" t="n">
        <f aca="false">COUNTIFS('Daftar Fitur'!$B$2:$B$98,A7,'Daftar Fitur'!$E$2:$E$98,"Ada")</f>
        <v>22</v>
      </c>
      <c r="D7" s="5" t="n">
        <f aca="false">COUNTIFS('Daftar Fitur'!$B$2:$B$98,A7,'Daftar Fitur'!$E$2:$E$98,"Belum")</f>
        <v>0</v>
      </c>
      <c r="E7" s="6" t="n">
        <f aca="false">IF(B7=0,0,C7/B7)</f>
        <v>1</v>
      </c>
      <c r="F7" s="5" t="n">
        <f aca="false">COUNTIFS('Daftar Fitur'!$B$2:$B$98,A7,'Daftar Fitur'!$F$2:$F$98,"Ya")</f>
        <v>2</v>
      </c>
      <c r="G7" s="5" t="n">
        <f aca="false">COUNTIFS('Daftar Fitur'!$B$2:$B$98,A7,'Daftar Fitur'!$F$2:$F$98,"Ya",'Daftar Fitur'!$E$2:$E$98,"Belum")</f>
        <v>0</v>
      </c>
      <c r="H7" s="5" t="n">
        <f aca="false">COUNTIFS('Daftar Fitur'!$B$2:$B$98,A7,'Daftar Fitur'!$G$2:$G$98,"Ya")</f>
        <v>0</v>
      </c>
    </row>
    <row r="8" customFormat="false" ht="15" hidden="false" customHeight="false" outlineLevel="0" collapsed="false">
      <c r="A8" s="7" t="s">
        <v>13</v>
      </c>
      <c r="B8" s="8" t="n">
        <f aca="false">SUM(B5:B7)</f>
        <v>97</v>
      </c>
      <c r="C8" s="8" t="n">
        <f aca="false">SUM(C5:C7)</f>
        <v>97</v>
      </c>
      <c r="D8" s="8" t="n">
        <f aca="false">SUM(D5:D7)</f>
        <v>0</v>
      </c>
      <c r="E8" s="9" t="n">
        <f aca="false">IF(B8=0,0,C8/B8)</f>
        <v>1</v>
      </c>
      <c r="F8" s="8" t="n">
        <f aca="false">SUM(F5:F7)</f>
        <v>15</v>
      </c>
      <c r="G8" s="8" t="n">
        <f aca="false">SUM(G5:G7)</f>
        <v>0</v>
      </c>
      <c r="H8" s="8" t="n">
        <f aca="false">SUM(H5:H7)</f>
        <v>15</v>
      </c>
    </row>
    <row r="10" customFormat="false" ht="15" hidden="false" customHeight="false" outlineLevel="0" collapsed="false">
      <c r="A10" s="10" t="s">
        <v>14</v>
      </c>
    </row>
    <row r="11" customFormat="false" ht="15" hidden="false" customHeight="false" outlineLevel="0" collapsed="false">
      <c r="A11" s="11" t="s">
        <v>15</v>
      </c>
      <c r="B11" s="12" t="s">
        <v>16</v>
      </c>
    </row>
    <row r="12" customFormat="false" ht="15" hidden="false" customHeight="false" outlineLevel="0" collapsed="false">
      <c r="A12" s="11" t="s">
        <v>17</v>
      </c>
      <c r="B12" s="12" t="s">
        <v>18</v>
      </c>
    </row>
    <row r="13" customFormat="false" ht="15" hidden="false" customHeight="false" outlineLevel="0" collapsed="false">
      <c r="A13" s="11" t="s">
        <v>7</v>
      </c>
      <c r="B13" s="12" t="s">
        <v>19</v>
      </c>
    </row>
    <row r="14" customFormat="false" ht="15" hidden="false" customHeight="false" outlineLevel="0" collapsed="false">
      <c r="A14" s="11" t="s">
        <v>9</v>
      </c>
      <c r="B14" s="12" t="s">
        <v>20</v>
      </c>
    </row>
    <row r="15" customFormat="false" ht="15" hidden="false" customHeight="false" outlineLevel="0" collapsed="false">
      <c r="A15" s="11" t="s">
        <v>21</v>
      </c>
      <c r="B15" s="12" t="s">
        <v>22</v>
      </c>
    </row>
    <row r="16" customFormat="false" ht="15" hidden="false" customHeight="false" outlineLevel="0" collapsed="false">
      <c r="A16" s="11" t="s">
        <v>23</v>
      </c>
      <c r="B16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31.5" hidden="false" customHeight="true" outlineLevel="0" collapsed="false">
      <c r="A4" s="3" t="s">
        <v>27</v>
      </c>
      <c r="B4" s="3" t="s">
        <v>28</v>
      </c>
      <c r="C4" s="3" t="s">
        <v>29</v>
      </c>
      <c r="D4" s="3" t="s">
        <v>30</v>
      </c>
      <c r="E4" s="3" t="s">
        <v>31</v>
      </c>
      <c r="F4" s="3" t="s">
        <v>32</v>
      </c>
      <c r="G4" s="3" t="s">
        <v>33</v>
      </c>
      <c r="H4" s="3" t="s">
        <v>34</v>
      </c>
    </row>
    <row r="5" customFormat="false" ht="15" hidden="false" customHeight="false" outlineLevel="0" collapsed="false">
      <c r="A5" s="4" t="s">
        <v>10</v>
      </c>
      <c r="B5" s="5" t="n">
        <f aca="false">COUNTIFS('Uji QA'!$B$2:$B$129,$A5)</f>
        <v>58</v>
      </c>
      <c r="C5" s="5" t="n">
        <f aca="false">COUNTIFS('Uji QA'!$B$2:$B$129,$A5,'Uji QA'!$M$2:$M$129,"Belum diuji")</f>
        <v>58</v>
      </c>
      <c r="D5" s="5" t="n">
        <f aca="false">COUNTIFS('Uji QA'!$B$2:$B$129,$A5,'Uji QA'!$M$2:$M$129,"Lulus")</f>
        <v>0</v>
      </c>
      <c r="E5" s="5" t="n">
        <f aca="false">COUNTIFS('Uji QA'!$B$2:$B$129,$A5,'Uji QA'!$M$2:$M$129,"Gagal")</f>
        <v>0</v>
      </c>
      <c r="F5" s="5" t="n">
        <f aca="false">COUNTIFS('Uji QA'!$B$2:$B$129,$A5,'Uji QA'!$M$2:$M$129,"Terblokir")</f>
        <v>0</v>
      </c>
      <c r="G5" s="6" t="n">
        <f aca="false">IF(B5=0,0,(B5-C5)/B5)</f>
        <v>0</v>
      </c>
      <c r="H5" s="6" t="n">
        <f aca="false">IF((D5+E5)=0,0,D5/(D5+E5))</f>
        <v>0</v>
      </c>
    </row>
    <row r="6" customFormat="false" ht="15" hidden="false" customHeight="false" outlineLevel="0" collapsed="false">
      <c r="A6" s="4" t="s">
        <v>11</v>
      </c>
      <c r="B6" s="5" t="n">
        <f aca="false">COUNTIFS('Uji QA'!$B$2:$B$129,$A6)</f>
        <v>46</v>
      </c>
      <c r="C6" s="5" t="n">
        <f aca="false">COUNTIFS('Uji QA'!$B$2:$B$129,$A6,'Uji QA'!$M$2:$M$129,"Belum diuji")</f>
        <v>46</v>
      </c>
      <c r="D6" s="5" t="n">
        <f aca="false">COUNTIFS('Uji QA'!$B$2:$B$129,$A6,'Uji QA'!$M$2:$M$129,"Lulus")</f>
        <v>0</v>
      </c>
      <c r="E6" s="5" t="n">
        <f aca="false">COUNTIFS('Uji QA'!$B$2:$B$129,$A6,'Uji QA'!$M$2:$M$129,"Gagal")</f>
        <v>0</v>
      </c>
      <c r="F6" s="5" t="n">
        <f aca="false">COUNTIFS('Uji QA'!$B$2:$B$129,$A6,'Uji QA'!$M$2:$M$129,"Terblokir")</f>
        <v>0</v>
      </c>
      <c r="G6" s="6" t="n">
        <f aca="false">IF(B6=0,0,(B6-C6)/B6)</f>
        <v>0</v>
      </c>
      <c r="H6" s="6" t="n">
        <f aca="false">IF((D6+E6)=0,0,D6/(D6+E6))</f>
        <v>0</v>
      </c>
    </row>
    <row r="7" customFormat="false" ht="15" hidden="false" customHeight="false" outlineLevel="0" collapsed="false">
      <c r="A7" s="4" t="s">
        <v>12</v>
      </c>
      <c r="B7" s="5" t="n">
        <f aca="false">COUNTIFS('Uji QA'!$B$2:$B$129,$A7)</f>
        <v>24</v>
      </c>
      <c r="C7" s="5" t="n">
        <f aca="false">COUNTIFS('Uji QA'!$B$2:$B$129,$A7,'Uji QA'!$M$2:$M$129,"Belum diuji")</f>
        <v>24</v>
      </c>
      <c r="D7" s="5" t="n">
        <f aca="false">COUNTIFS('Uji QA'!$B$2:$B$129,$A7,'Uji QA'!$M$2:$M$129,"Lulus")</f>
        <v>0</v>
      </c>
      <c r="E7" s="5" t="n">
        <f aca="false">COUNTIFS('Uji QA'!$B$2:$B$129,$A7,'Uji QA'!$M$2:$M$129,"Gagal")</f>
        <v>0</v>
      </c>
      <c r="F7" s="5" t="n">
        <f aca="false">COUNTIFS('Uji QA'!$B$2:$B$129,$A7,'Uji QA'!$M$2:$M$129,"Terblokir")</f>
        <v>0</v>
      </c>
      <c r="G7" s="6" t="n">
        <f aca="false">IF(B7=0,0,(B7-C7)/B7)</f>
        <v>0</v>
      </c>
      <c r="H7" s="6" t="n">
        <f aca="false">IF((D7+E7)=0,0,D7/(D7+E7))</f>
        <v>0</v>
      </c>
    </row>
    <row r="8" customFormat="false" ht="15" hidden="false" customHeight="false" outlineLevel="0" collapsed="false">
      <c r="A8" s="7" t="s">
        <v>13</v>
      </c>
      <c r="B8" s="8" t="n">
        <f aca="false">COUNTA('Uji QA'!$A$2:$A$129)</f>
        <v>128</v>
      </c>
      <c r="C8" s="8" t="n">
        <f aca="false">COUNTIFS('Uji QA'!$M$2:$M$129,"Belum diuji")</f>
        <v>128</v>
      </c>
      <c r="D8" s="8" t="n">
        <f aca="false">COUNTIFS('Uji QA'!$M$2:$M$129,"Lulus")</f>
        <v>0</v>
      </c>
      <c r="E8" s="8" t="n">
        <f aca="false">COUNTIFS('Uji QA'!$M$2:$M$129,"Gagal")</f>
        <v>0</v>
      </c>
      <c r="F8" s="8" t="n">
        <f aca="false">COUNTIFS('Uji QA'!$M$2:$M$129,"Terblokir")</f>
        <v>0</v>
      </c>
      <c r="G8" s="9" t="n">
        <f aca="false">IF(B8=0,0,(B8-C8)/B8)</f>
        <v>0</v>
      </c>
      <c r="H8" s="9" t="n">
        <f aca="false">IF((D8+E8)=0,0,D8/(D8+E8))</f>
        <v>0</v>
      </c>
    </row>
    <row r="10" customFormat="false" ht="26.85" hidden="false" customHeight="false" outlineLevel="0" collapsed="false">
      <c r="A10" s="3" t="s">
        <v>35</v>
      </c>
      <c r="B10" s="3" t="s">
        <v>28</v>
      </c>
      <c r="C10" s="3" t="s">
        <v>29</v>
      </c>
      <c r="D10" s="3" t="s">
        <v>30</v>
      </c>
      <c r="E10" s="3" t="s">
        <v>31</v>
      </c>
      <c r="F10" s="3" t="s">
        <v>32</v>
      </c>
      <c r="G10" s="3" t="s">
        <v>33</v>
      </c>
      <c r="H10" s="3" t="s">
        <v>34</v>
      </c>
    </row>
    <row r="11" customFormat="false" ht="15" hidden="false" customHeight="false" outlineLevel="0" collapsed="false">
      <c r="A11" s="4" t="s">
        <v>36</v>
      </c>
      <c r="B11" s="5" t="n">
        <f aca="false">COUNTIFS('Uji QA'!$G$2:$G$129,$A11)</f>
        <v>54</v>
      </c>
      <c r="C11" s="5" t="n">
        <f aca="false">COUNTIFS('Uji QA'!$G$2:$G$129,$A11,'Uji QA'!$M$2:$M$129,"Belum diuji")</f>
        <v>54</v>
      </c>
      <c r="D11" s="5" t="n">
        <f aca="false">COUNTIFS('Uji QA'!$G$2:$G$129,$A11,'Uji QA'!$M$2:$M$129,"Lulus")</f>
        <v>0</v>
      </c>
      <c r="E11" s="5" t="n">
        <f aca="false">COUNTIFS('Uji QA'!$G$2:$G$129,$A11,'Uji QA'!$M$2:$M$129,"Gagal")</f>
        <v>0</v>
      </c>
      <c r="F11" s="5" t="n">
        <f aca="false">COUNTIFS('Uji QA'!$G$2:$G$129,$A11,'Uji QA'!$M$2:$M$129,"Terblokir")</f>
        <v>0</v>
      </c>
      <c r="G11" s="6" t="n">
        <f aca="false">IF(B11=0,0,(B11-C11)/B11)</f>
        <v>0</v>
      </c>
      <c r="H11" s="6" t="n">
        <f aca="false">IF((D11+E11)=0,0,D11/(D11+E11))</f>
        <v>0</v>
      </c>
    </row>
    <row r="12" customFormat="false" ht="15" hidden="false" customHeight="false" outlineLevel="0" collapsed="false">
      <c r="A12" s="4" t="s">
        <v>37</v>
      </c>
      <c r="B12" s="5" t="n">
        <f aca="false">COUNTIFS('Uji QA'!$G$2:$G$129,$A12)</f>
        <v>52</v>
      </c>
      <c r="C12" s="5" t="n">
        <f aca="false">COUNTIFS('Uji QA'!$G$2:$G$129,$A12,'Uji QA'!$M$2:$M$129,"Belum diuji")</f>
        <v>52</v>
      </c>
      <c r="D12" s="5" t="n">
        <f aca="false">COUNTIFS('Uji QA'!$G$2:$G$129,$A12,'Uji QA'!$M$2:$M$129,"Lulus")</f>
        <v>0</v>
      </c>
      <c r="E12" s="5" t="n">
        <f aca="false">COUNTIFS('Uji QA'!$G$2:$G$129,$A12,'Uji QA'!$M$2:$M$129,"Gagal")</f>
        <v>0</v>
      </c>
      <c r="F12" s="5" t="n">
        <f aca="false">COUNTIFS('Uji QA'!$G$2:$G$129,$A12,'Uji QA'!$M$2:$M$129,"Terblokir")</f>
        <v>0</v>
      </c>
      <c r="G12" s="6" t="n">
        <f aca="false">IF(B12=0,0,(B12-C12)/B12)</f>
        <v>0</v>
      </c>
      <c r="H12" s="6" t="n">
        <f aca="false">IF((D12+E12)=0,0,D12/(D12+E12))</f>
        <v>0</v>
      </c>
    </row>
    <row r="13" customFormat="false" ht="15" hidden="false" customHeight="false" outlineLevel="0" collapsed="false">
      <c r="A13" s="4" t="s">
        <v>38</v>
      </c>
      <c r="B13" s="5" t="n">
        <f aca="false">COUNTIFS('Uji QA'!$G$2:$G$129,$A13)</f>
        <v>22</v>
      </c>
      <c r="C13" s="5" t="n">
        <f aca="false">COUNTIFS('Uji QA'!$G$2:$G$129,$A13,'Uji QA'!$M$2:$M$129,"Belum diuji")</f>
        <v>22</v>
      </c>
      <c r="D13" s="5" t="n">
        <f aca="false">COUNTIFS('Uji QA'!$G$2:$G$129,$A13,'Uji QA'!$M$2:$M$129,"Lulus")</f>
        <v>0</v>
      </c>
      <c r="E13" s="5" t="n">
        <f aca="false">COUNTIFS('Uji QA'!$G$2:$G$129,$A13,'Uji QA'!$M$2:$M$129,"Gagal")</f>
        <v>0</v>
      </c>
      <c r="F13" s="5" t="n">
        <f aca="false">COUNTIFS('Uji QA'!$G$2:$G$129,$A13,'Uji QA'!$M$2:$M$129,"Terblokir")</f>
        <v>0</v>
      </c>
      <c r="G13" s="6" t="n">
        <f aca="false">IF(B13=0,0,(B13-C13)/B13)</f>
        <v>0</v>
      </c>
      <c r="H13" s="6" t="n">
        <f aca="false">IF((D13+E13)=0,0,D13/(D13+E13))</f>
        <v>0</v>
      </c>
    </row>
    <row r="15" customFormat="false" ht="26.85" hidden="false" customHeight="false" outlineLevel="0" collapsed="false">
      <c r="A15" s="3" t="s">
        <v>39</v>
      </c>
      <c r="B15" s="3" t="s">
        <v>28</v>
      </c>
      <c r="C15" s="3" t="s">
        <v>29</v>
      </c>
      <c r="D15" s="3" t="s">
        <v>30</v>
      </c>
      <c r="E15" s="3" t="s">
        <v>31</v>
      </c>
      <c r="F15" s="3" t="s">
        <v>32</v>
      </c>
      <c r="G15" s="3" t="s">
        <v>33</v>
      </c>
      <c r="H15" s="3" t="s">
        <v>34</v>
      </c>
    </row>
    <row r="16" customFormat="false" ht="15" hidden="false" customHeight="false" outlineLevel="0" collapsed="false">
      <c r="A16" s="4" t="s">
        <v>40</v>
      </c>
      <c r="B16" s="5" t="n">
        <f aca="false">COUNTIFS('Uji QA'!$F$2:$F$129,$A16)</f>
        <v>99</v>
      </c>
      <c r="C16" s="5" t="n">
        <f aca="false">COUNTIFS('Uji QA'!$F$2:$F$129,$A16,'Uji QA'!$M$2:$M$129,"Belum diuji")</f>
        <v>99</v>
      </c>
      <c r="D16" s="5" t="n">
        <f aca="false">COUNTIFS('Uji QA'!$F$2:$F$129,$A16,'Uji QA'!$M$2:$M$129,"Lulus")</f>
        <v>0</v>
      </c>
      <c r="E16" s="5" t="n">
        <f aca="false">COUNTIFS('Uji QA'!$F$2:$F$129,$A16,'Uji QA'!$M$2:$M$129,"Gagal")</f>
        <v>0</v>
      </c>
      <c r="F16" s="5" t="n">
        <f aca="false">COUNTIFS('Uji QA'!$F$2:$F$129,$A16,'Uji QA'!$M$2:$M$129,"Terblokir")</f>
        <v>0</v>
      </c>
      <c r="G16" s="6" t="n">
        <f aca="false">IF(B16=0,0,(B16-C16)/B16)</f>
        <v>0</v>
      </c>
      <c r="H16" s="6" t="n">
        <f aca="false">IF((D16+E16)=0,0,D16/(D16+E16))</f>
        <v>0</v>
      </c>
    </row>
    <row r="17" customFormat="false" ht="15" hidden="false" customHeight="false" outlineLevel="0" collapsed="false">
      <c r="A17" s="4" t="s">
        <v>41</v>
      </c>
      <c r="B17" s="5" t="n">
        <f aca="false">COUNTIFS('Uji QA'!$F$2:$F$129,$A17)</f>
        <v>12</v>
      </c>
      <c r="C17" s="5" t="n">
        <f aca="false">COUNTIFS('Uji QA'!$F$2:$F$129,$A17,'Uji QA'!$M$2:$M$129,"Belum diuji")</f>
        <v>12</v>
      </c>
      <c r="D17" s="5" t="n">
        <f aca="false">COUNTIFS('Uji QA'!$F$2:$F$129,$A17,'Uji QA'!$M$2:$M$129,"Lulus")</f>
        <v>0</v>
      </c>
      <c r="E17" s="5" t="n">
        <f aca="false">COUNTIFS('Uji QA'!$F$2:$F$129,$A17,'Uji QA'!$M$2:$M$129,"Gagal")</f>
        <v>0</v>
      </c>
      <c r="F17" s="5" t="n">
        <f aca="false">COUNTIFS('Uji QA'!$F$2:$F$129,$A17,'Uji QA'!$M$2:$M$129,"Terblokir")</f>
        <v>0</v>
      </c>
      <c r="G17" s="6" t="n">
        <f aca="false">IF(B17=0,0,(B17-C17)/B17)</f>
        <v>0</v>
      </c>
      <c r="H17" s="6" t="n">
        <f aca="false">IF((D17+E17)=0,0,D17/(D17+E17))</f>
        <v>0</v>
      </c>
    </row>
    <row r="18" customFormat="false" ht="15" hidden="false" customHeight="false" outlineLevel="0" collapsed="false">
      <c r="A18" s="4" t="s">
        <v>42</v>
      </c>
      <c r="B18" s="5" t="n">
        <f aca="false">COUNTIFS('Uji QA'!$F$2:$F$129,$A18)</f>
        <v>9</v>
      </c>
      <c r="C18" s="5" t="n">
        <f aca="false">COUNTIFS('Uji QA'!$F$2:$F$129,$A18,'Uji QA'!$M$2:$M$129,"Belum diuji")</f>
        <v>9</v>
      </c>
      <c r="D18" s="5" t="n">
        <f aca="false">COUNTIFS('Uji QA'!$F$2:$F$129,$A18,'Uji QA'!$M$2:$M$129,"Lulus")</f>
        <v>0</v>
      </c>
      <c r="E18" s="5" t="n">
        <f aca="false">COUNTIFS('Uji QA'!$F$2:$F$129,$A18,'Uji QA'!$M$2:$M$129,"Gagal")</f>
        <v>0</v>
      </c>
      <c r="F18" s="5" t="n">
        <f aca="false">COUNTIFS('Uji QA'!$F$2:$F$129,$A18,'Uji QA'!$M$2:$M$129,"Terblokir")</f>
        <v>0</v>
      </c>
      <c r="G18" s="6" t="n">
        <f aca="false">IF(B18=0,0,(B18-C18)/B18)</f>
        <v>0</v>
      </c>
      <c r="H18" s="6" t="n">
        <f aca="false">IF((D18+E18)=0,0,D18/(D18+E18))</f>
        <v>0</v>
      </c>
    </row>
    <row r="19" customFormat="false" ht="15" hidden="false" customHeight="false" outlineLevel="0" collapsed="false">
      <c r="A19" s="4" t="s">
        <v>43</v>
      </c>
      <c r="B19" s="5" t="n">
        <f aca="false">COUNTIFS('Uji QA'!$F$2:$F$129,$A19)</f>
        <v>8</v>
      </c>
      <c r="C19" s="5" t="n">
        <f aca="false">COUNTIFS('Uji QA'!$F$2:$F$129,$A19,'Uji QA'!$M$2:$M$129,"Belum diuji")</f>
        <v>8</v>
      </c>
      <c r="D19" s="5" t="n">
        <f aca="false">COUNTIFS('Uji QA'!$F$2:$F$129,$A19,'Uji QA'!$M$2:$M$129,"Lulus")</f>
        <v>0</v>
      </c>
      <c r="E19" s="5" t="n">
        <f aca="false">COUNTIFS('Uji QA'!$F$2:$F$129,$A19,'Uji QA'!$M$2:$M$129,"Gagal")</f>
        <v>0</v>
      </c>
      <c r="F19" s="5" t="n">
        <f aca="false">COUNTIFS('Uji QA'!$F$2:$F$129,$A19,'Uji QA'!$M$2:$M$129,"Terblokir")</f>
        <v>0</v>
      </c>
      <c r="G19" s="6" t="n">
        <f aca="false">IF(B19=0,0,(B19-C19)/B19)</f>
        <v>0</v>
      </c>
      <c r="H19" s="6" t="n">
        <f aca="false">IF((D19+E19)=0,0,D19/(D19+E19))</f>
        <v>0</v>
      </c>
    </row>
    <row r="21" customFormat="false" ht="15" hidden="false" customHeight="false" outlineLevel="0" collapsed="false">
      <c r="A21" s="13" t="s">
        <v>44</v>
      </c>
    </row>
    <row r="22" customFormat="false" ht="15" hidden="false" customHeight="false" outlineLevel="0" collapsed="false">
      <c r="A22" s="14" t="s">
        <v>45</v>
      </c>
      <c r="B22" s="15" t="n">
        <f aca="false">COUNTIFS('Uji QA'!$G$2:$G$129,"Tinggi",'Uji QA'!$M$2:$M$129,"Gagal")</f>
        <v>0</v>
      </c>
    </row>
    <row r="23" customFormat="false" ht="15" hidden="false" customHeight="false" outlineLevel="0" collapsed="false">
      <c r="A23" s="14" t="s">
        <v>46</v>
      </c>
      <c r="B23" s="15" t="n">
        <f aca="false">COUNTIFS('Uji QA'!$G$2:$G$129,"Tinggi",'Uji QA'!$M$2:$M$129,"Belum diuji")</f>
        <v>54</v>
      </c>
    </row>
    <row r="24" customFormat="false" ht="15" hidden="false" customHeight="false" outlineLevel="0" collapsed="false">
      <c r="A24" s="14" t="s">
        <v>47</v>
      </c>
      <c r="B24" s="15" t="n">
        <f aca="false">COUNTIFS('Laporan Bug'!$G$2:$G$61,"Kritis",'Laporan Bug'!$J$2:$J$61,"&lt;&gt;Ditutup",'Laporan Bug'!$J$2:$J$61,"&lt;&gt;Ditolak")+COUNTIFS('Laporan Bug'!$G$2:$G$61,"Tinggi",'Laporan Bug'!$J$2:$J$61,"&lt;&gt;Ditutup",'Laporan Bug'!$J$2:$J$61,"&lt;&gt;Ditolak")</f>
        <v>0</v>
      </c>
    </row>
    <row r="25" customFormat="false" ht="15" hidden="false" customHeight="false" outlineLevel="0" collapsed="false">
      <c r="A25" s="14" t="s">
        <v>48</v>
      </c>
      <c r="B25" s="15" t="n">
        <f aca="false">COUNTA('Laporan Bug'!$C$2:$C$61)</f>
        <v>0</v>
      </c>
    </row>
    <row r="26" customFormat="false" ht="15" hidden="false" customHeight="false" outlineLevel="0" collapsed="false">
      <c r="A26" s="14" t="s">
        <v>49</v>
      </c>
      <c r="B26" s="16" t="str">
        <f aca="false">IF(AND(B22=0,B23=0,B24=0),"SIAP RILIS","BELUM SIAP - selesaikan yang di atas")</f>
        <v>BELUM SIAP - selesaikan yang di atas</v>
      </c>
      <c r="C26" s="16"/>
      <c r="D26" s="16"/>
    </row>
    <row r="28" customFormat="false" ht="15" hidden="false" customHeight="false" outlineLevel="0" collapsed="false">
      <c r="A28" s="13" t="s">
        <v>50</v>
      </c>
    </row>
    <row r="29" customFormat="false" ht="30" hidden="false" customHeight="true" outlineLevel="0" collapsed="false">
      <c r="A29" s="11" t="s">
        <v>51</v>
      </c>
      <c r="B29" s="17" t="s">
        <v>52</v>
      </c>
      <c r="C29" s="17"/>
      <c r="D29" s="17"/>
      <c r="E29" s="17"/>
      <c r="F29" s="17"/>
      <c r="G29" s="17"/>
      <c r="H29" s="17"/>
    </row>
    <row r="30" customFormat="false" ht="30" hidden="false" customHeight="true" outlineLevel="0" collapsed="false">
      <c r="A30" s="11" t="s">
        <v>53</v>
      </c>
      <c r="B30" s="17" t="s">
        <v>54</v>
      </c>
      <c r="C30" s="17"/>
      <c r="D30" s="17"/>
      <c r="E30" s="17"/>
      <c r="F30" s="17"/>
      <c r="G30" s="17"/>
      <c r="H30" s="17"/>
    </row>
    <row r="31" customFormat="false" ht="30" hidden="false" customHeight="true" outlineLevel="0" collapsed="false">
      <c r="A31" s="11" t="s">
        <v>55</v>
      </c>
      <c r="B31" s="17" t="s">
        <v>56</v>
      </c>
      <c r="C31" s="17"/>
      <c r="D31" s="17"/>
      <c r="E31" s="17"/>
      <c r="F31" s="17"/>
      <c r="G31" s="17"/>
      <c r="H31" s="17"/>
    </row>
    <row r="32" customFormat="false" ht="30" hidden="false" customHeight="true" outlineLevel="0" collapsed="false">
      <c r="A32" s="11" t="s">
        <v>57</v>
      </c>
      <c r="B32" s="17" t="s">
        <v>58</v>
      </c>
      <c r="C32" s="17"/>
      <c r="D32" s="17"/>
      <c r="E32" s="17"/>
      <c r="F32" s="17"/>
      <c r="G32" s="17"/>
      <c r="H32" s="17"/>
    </row>
    <row r="33" customFormat="false" ht="30" hidden="false" customHeight="true" outlineLevel="0" collapsed="false">
      <c r="A33" s="11" t="s">
        <v>59</v>
      </c>
      <c r="B33" s="17" t="s">
        <v>60</v>
      </c>
      <c r="C33" s="17"/>
      <c r="D33" s="17"/>
      <c r="E33" s="17"/>
      <c r="F33" s="17"/>
      <c r="G33" s="17"/>
      <c r="H33" s="17"/>
    </row>
    <row r="34" customFormat="false" ht="30" hidden="false" customHeight="true" outlineLevel="0" collapsed="false">
      <c r="A34" s="11" t="s">
        <v>61</v>
      </c>
      <c r="B34" s="17" t="s">
        <v>62</v>
      </c>
      <c r="C34" s="17"/>
      <c r="D34" s="17"/>
      <c r="E34" s="17"/>
      <c r="F34" s="17"/>
      <c r="G34" s="17"/>
      <c r="H34" s="17"/>
    </row>
    <row r="35" customFormat="false" ht="30" hidden="false" customHeight="true" outlineLevel="0" collapsed="false">
      <c r="A35" s="11" t="s">
        <v>63</v>
      </c>
      <c r="B35" s="17" t="s">
        <v>64</v>
      </c>
      <c r="C35" s="17"/>
      <c r="D35" s="17"/>
      <c r="E35" s="17"/>
      <c r="F35" s="17"/>
      <c r="G35" s="17"/>
      <c r="H35" s="17"/>
    </row>
    <row r="37" customFormat="false" ht="15" hidden="false" customHeight="false" outlineLevel="0" collapsed="false">
      <c r="A37" s="13" t="s">
        <v>65</v>
      </c>
    </row>
    <row r="38" customFormat="false" ht="15" hidden="false" customHeight="false" outlineLevel="0" collapsed="false">
      <c r="A38" s="18" t="s">
        <v>66</v>
      </c>
      <c r="B38" s="18"/>
      <c r="C38" s="18"/>
      <c r="D38" s="18"/>
      <c r="E38" s="18"/>
      <c r="F38" s="18"/>
      <c r="G38" s="18"/>
      <c r="H38" s="18"/>
    </row>
    <row r="39" customFormat="false" ht="15" hidden="false" customHeight="false" outlineLevel="0" collapsed="false">
      <c r="A39" s="18" t="s">
        <v>67</v>
      </c>
      <c r="B39" s="18"/>
      <c r="C39" s="18"/>
      <c r="D39" s="18"/>
      <c r="E39" s="18"/>
      <c r="F39" s="18"/>
      <c r="G39" s="18"/>
      <c r="H39" s="18"/>
    </row>
    <row r="40" customFormat="false" ht="15" hidden="false" customHeight="false" outlineLevel="0" collapsed="false">
      <c r="A40" s="18" t="s">
        <v>68</v>
      </c>
      <c r="B40" s="18"/>
      <c r="C40" s="18"/>
      <c r="D40" s="18"/>
      <c r="E40" s="18"/>
      <c r="F40" s="18"/>
      <c r="G40" s="18"/>
      <c r="H40" s="18"/>
    </row>
    <row r="41" customFormat="false" ht="15" hidden="false" customHeight="false" outlineLevel="0" collapsed="false">
      <c r="A41" s="18" t="s">
        <v>69</v>
      </c>
      <c r="B41" s="18"/>
      <c r="C41" s="18"/>
      <c r="D41" s="18"/>
      <c r="E41" s="18"/>
      <c r="F41" s="18"/>
      <c r="G41" s="18"/>
      <c r="H41" s="18"/>
    </row>
    <row r="42" customFormat="false" ht="15" hidden="false" customHeight="false" outlineLevel="0" collapsed="false">
      <c r="A42" s="18" t="s">
        <v>70</v>
      </c>
      <c r="B42" s="18"/>
      <c r="C42" s="18"/>
      <c r="D42" s="18"/>
      <c r="E42" s="18"/>
      <c r="F42" s="18"/>
      <c r="G42" s="18"/>
      <c r="H42" s="18"/>
    </row>
    <row r="43" customFormat="false" ht="15" hidden="false" customHeight="false" outlineLevel="0" collapsed="false">
      <c r="A43" s="18" t="s">
        <v>71</v>
      </c>
      <c r="B43" s="18"/>
      <c r="C43" s="18"/>
      <c r="D43" s="18"/>
      <c r="E43" s="18"/>
      <c r="F43" s="18"/>
      <c r="G43" s="18"/>
      <c r="H43" s="18"/>
    </row>
  </sheetData>
  <mergeCells count="14">
    <mergeCell ref="B26:D26"/>
    <mergeCell ref="B29:H29"/>
    <mergeCell ref="B30:H30"/>
    <mergeCell ref="B31:H31"/>
    <mergeCell ref="B32:H32"/>
    <mergeCell ref="B33:H33"/>
    <mergeCell ref="B34:H34"/>
    <mergeCell ref="B35:H35"/>
    <mergeCell ref="A38:H38"/>
    <mergeCell ref="A39:H39"/>
    <mergeCell ref="A40:H40"/>
    <mergeCell ref="A41:H41"/>
    <mergeCell ref="A42:H42"/>
    <mergeCell ref="A43:H43"/>
  </mergeCells>
  <conditionalFormatting sqref="B26">
    <cfRule type="cellIs" priority="2" operator="equal" aboveAverage="0" equalAverage="0" bottom="0" percent="0" rank="0" text="" dxfId="0">
      <formula>"SIAP RILIS"</formula>
    </cfRule>
    <cfRule type="cellIs" priority="3" operator="notEqual" aboveAverage="0" equalAverage="0" bottom="0" percent="0" rank="0" text="" dxfId="1">
      <formula>"SIAP RILIS"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8"/>
    <col collapsed="false" customWidth="true" hidden="false" outlineLevel="0" max="9" min="9" style="0" width="55"/>
    <col collapsed="false" customWidth="true" hidden="false" outlineLevel="0" max="10" min="10" style="0" width="50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0"/>
  </cols>
  <sheetData>
    <row r="1" customFormat="false" ht="39.55" hidden="false" customHeight="false" outlineLevel="0" collapsed="false">
      <c r="A1" s="3" t="s">
        <v>72</v>
      </c>
      <c r="B1" s="3" t="s">
        <v>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3" t="s">
        <v>35</v>
      </c>
      <c r="L1" s="3" t="s">
        <v>81</v>
      </c>
      <c r="M1" s="3" t="s">
        <v>82</v>
      </c>
    </row>
    <row r="2" customFormat="false" ht="15" hidden="false" customHeight="false" outlineLevel="0" collapsed="false">
      <c r="A2" s="19" t="n">
        <v>1</v>
      </c>
      <c r="B2" s="20" t="s">
        <v>10</v>
      </c>
      <c r="C2" s="20" t="s">
        <v>83</v>
      </c>
      <c r="D2" s="21" t="s">
        <v>84</v>
      </c>
      <c r="E2" s="19" t="s">
        <v>15</v>
      </c>
      <c r="F2" s="19"/>
      <c r="G2" s="19"/>
      <c r="H2" s="20" t="s">
        <v>85</v>
      </c>
      <c r="I2" s="20" t="s">
        <v>86</v>
      </c>
      <c r="J2" s="20" t="s">
        <v>87</v>
      </c>
      <c r="K2" s="22"/>
      <c r="L2" s="23" t="n">
        <f aca="false">COUNTIF('Uji QA'!$D$2:$D$129,D2)</f>
        <v>3</v>
      </c>
      <c r="M2" s="23" t="n">
        <f aca="false">COUNTIFS('Uji QA'!$D$2:$D$129,D2,'Uji QA'!$M$2:$M$129,"Lulus")</f>
        <v>0</v>
      </c>
    </row>
    <row r="3" customFormat="false" ht="15" hidden="false" customHeight="false" outlineLevel="0" collapsed="false">
      <c r="A3" s="19" t="n">
        <v>2</v>
      </c>
      <c r="B3" s="20" t="s">
        <v>10</v>
      </c>
      <c r="C3" s="20" t="s">
        <v>83</v>
      </c>
      <c r="D3" s="21" t="s">
        <v>88</v>
      </c>
      <c r="E3" s="19" t="s">
        <v>15</v>
      </c>
      <c r="F3" s="19"/>
      <c r="G3" s="19" t="s">
        <v>89</v>
      </c>
      <c r="H3" s="20" t="s">
        <v>90</v>
      </c>
      <c r="I3" s="20" t="s">
        <v>91</v>
      </c>
      <c r="J3" s="20" t="s">
        <v>92</v>
      </c>
      <c r="K3" s="22"/>
      <c r="L3" s="23" t="n">
        <f aca="false">COUNTIF('Uji QA'!$D$2:$D$129,D3)</f>
        <v>1</v>
      </c>
      <c r="M3" s="23" t="n">
        <f aca="false">COUNTIFS('Uji QA'!$D$2:$D$129,D3,'Uji QA'!$M$2:$M$129,"Lulus")</f>
        <v>0</v>
      </c>
    </row>
    <row r="4" customFormat="false" ht="23.85" hidden="false" customHeight="false" outlineLevel="0" collapsed="false">
      <c r="A4" s="19" t="n">
        <v>3</v>
      </c>
      <c r="B4" s="20" t="s">
        <v>10</v>
      </c>
      <c r="C4" s="20" t="s">
        <v>83</v>
      </c>
      <c r="D4" s="21" t="s">
        <v>93</v>
      </c>
      <c r="E4" s="19" t="s">
        <v>15</v>
      </c>
      <c r="F4" s="19"/>
      <c r="G4" s="19" t="s">
        <v>89</v>
      </c>
      <c r="H4" s="20" t="s">
        <v>94</v>
      </c>
      <c r="I4" s="20" t="s">
        <v>95</v>
      </c>
      <c r="J4" s="20" t="s">
        <v>96</v>
      </c>
      <c r="K4" s="22"/>
      <c r="L4" s="23" t="n">
        <f aca="false">COUNTIF('Uji QA'!$D$2:$D$129,D4)</f>
        <v>2</v>
      </c>
      <c r="M4" s="23" t="n">
        <f aca="false">COUNTIFS('Uji QA'!$D$2:$D$129,D4,'Uji QA'!$M$2:$M$129,"Lulus")</f>
        <v>0</v>
      </c>
    </row>
    <row r="5" customFormat="false" ht="23.85" hidden="false" customHeight="false" outlineLevel="0" collapsed="false">
      <c r="A5" s="19" t="n">
        <v>4</v>
      </c>
      <c r="B5" s="20" t="s">
        <v>10</v>
      </c>
      <c r="C5" s="20" t="s">
        <v>83</v>
      </c>
      <c r="D5" s="21" t="s">
        <v>97</v>
      </c>
      <c r="E5" s="19" t="s">
        <v>15</v>
      </c>
      <c r="F5" s="19"/>
      <c r="G5" s="19" t="s">
        <v>89</v>
      </c>
      <c r="H5" s="20" t="s">
        <v>98</v>
      </c>
      <c r="I5" s="20" t="s">
        <v>99</v>
      </c>
      <c r="J5" s="20" t="s">
        <v>100</v>
      </c>
      <c r="K5" s="22"/>
      <c r="L5" s="23" t="n">
        <f aca="false">COUNTIF('Uji QA'!$D$2:$D$129,D5)</f>
        <v>4</v>
      </c>
      <c r="M5" s="23" t="n">
        <f aca="false">COUNTIFS('Uji QA'!$D$2:$D$129,D5,'Uji QA'!$M$2:$M$129,"Lulus")</f>
        <v>0</v>
      </c>
    </row>
    <row r="6" customFormat="false" ht="35.05" hidden="false" customHeight="false" outlineLevel="0" collapsed="false">
      <c r="A6" s="19" t="n">
        <v>5</v>
      </c>
      <c r="B6" s="20" t="s">
        <v>10</v>
      </c>
      <c r="C6" s="20" t="s">
        <v>83</v>
      </c>
      <c r="D6" s="21" t="s">
        <v>101</v>
      </c>
      <c r="E6" s="19" t="s">
        <v>15</v>
      </c>
      <c r="F6" s="19"/>
      <c r="G6" s="19"/>
      <c r="H6" s="20" t="s">
        <v>102</v>
      </c>
      <c r="I6" s="20" t="s">
        <v>103</v>
      </c>
      <c r="J6" s="20" t="s">
        <v>104</v>
      </c>
      <c r="K6" s="22"/>
      <c r="L6" s="23" t="n">
        <f aca="false">COUNTIF('Uji QA'!$D$2:$D$129,D6)</f>
        <v>4</v>
      </c>
      <c r="M6" s="23" t="n">
        <f aca="false">COUNTIFS('Uji QA'!$D$2:$D$129,D6,'Uji QA'!$M$2:$M$129,"Lulus")</f>
        <v>0</v>
      </c>
    </row>
    <row r="7" customFormat="false" ht="35.05" hidden="false" customHeight="false" outlineLevel="0" collapsed="false">
      <c r="A7" s="19" t="n">
        <v>6</v>
      </c>
      <c r="B7" s="20" t="s">
        <v>10</v>
      </c>
      <c r="C7" s="20" t="s">
        <v>83</v>
      </c>
      <c r="D7" s="21" t="s">
        <v>105</v>
      </c>
      <c r="E7" s="19" t="s">
        <v>15</v>
      </c>
      <c r="F7" s="19"/>
      <c r="G7" s="19"/>
      <c r="H7" s="20" t="s">
        <v>106</v>
      </c>
      <c r="I7" s="20" t="s">
        <v>107</v>
      </c>
      <c r="J7" s="20" t="s">
        <v>108</v>
      </c>
      <c r="K7" s="22"/>
      <c r="L7" s="23" t="n">
        <f aca="false">COUNTIF('Uji QA'!$D$2:$D$129,D7)</f>
        <v>3</v>
      </c>
      <c r="M7" s="23" t="n">
        <f aca="false">COUNTIFS('Uji QA'!$D$2:$D$129,D7,'Uji QA'!$M$2:$M$129,"Lulus")</f>
        <v>0</v>
      </c>
    </row>
    <row r="8" customFormat="false" ht="15" hidden="false" customHeight="false" outlineLevel="0" collapsed="false">
      <c r="A8" s="19" t="n">
        <v>7</v>
      </c>
      <c r="B8" s="20" t="s">
        <v>10</v>
      </c>
      <c r="C8" s="20" t="s">
        <v>83</v>
      </c>
      <c r="D8" s="21" t="s">
        <v>109</v>
      </c>
      <c r="E8" s="19" t="s">
        <v>15</v>
      </c>
      <c r="F8" s="19"/>
      <c r="G8" s="19"/>
      <c r="H8" s="20" t="s">
        <v>110</v>
      </c>
      <c r="I8" s="20" t="s">
        <v>111</v>
      </c>
      <c r="J8" s="20" t="s">
        <v>112</v>
      </c>
      <c r="K8" s="22"/>
      <c r="L8" s="23" t="n">
        <f aca="false">COUNTIF('Uji QA'!$D$2:$D$129,D8)</f>
        <v>1</v>
      </c>
      <c r="M8" s="23" t="n">
        <f aca="false">COUNTIFS('Uji QA'!$D$2:$D$129,D8,'Uji QA'!$M$2:$M$129,"Lulus")</f>
        <v>0</v>
      </c>
    </row>
    <row r="9" customFormat="false" ht="23.85" hidden="false" customHeight="false" outlineLevel="0" collapsed="false">
      <c r="A9" s="19" t="n">
        <v>8</v>
      </c>
      <c r="B9" s="20" t="s">
        <v>10</v>
      </c>
      <c r="C9" s="20" t="s">
        <v>113</v>
      </c>
      <c r="D9" s="21" t="s">
        <v>114</v>
      </c>
      <c r="E9" s="19" t="s">
        <v>15</v>
      </c>
      <c r="F9" s="19" t="s">
        <v>89</v>
      </c>
      <c r="G9" s="19"/>
      <c r="H9" s="20" t="s">
        <v>115</v>
      </c>
      <c r="I9" s="20" t="s">
        <v>116</v>
      </c>
      <c r="J9" s="20" t="s">
        <v>117</v>
      </c>
      <c r="K9" s="22"/>
      <c r="L9" s="23" t="n">
        <f aca="false">COUNTIF('Uji QA'!$D$2:$D$129,D9)</f>
        <v>2</v>
      </c>
      <c r="M9" s="23" t="n">
        <f aca="false">COUNTIFS('Uji QA'!$D$2:$D$129,D9,'Uji QA'!$M$2:$M$129,"Lulus")</f>
        <v>0</v>
      </c>
    </row>
    <row r="10" customFormat="false" ht="15" hidden="false" customHeight="false" outlineLevel="0" collapsed="false">
      <c r="A10" s="19" t="n">
        <v>9</v>
      </c>
      <c r="B10" s="20" t="s">
        <v>10</v>
      </c>
      <c r="C10" s="20" t="s">
        <v>113</v>
      </c>
      <c r="D10" s="21" t="s">
        <v>118</v>
      </c>
      <c r="E10" s="19" t="s">
        <v>15</v>
      </c>
      <c r="F10" s="19"/>
      <c r="G10" s="19"/>
      <c r="H10" s="20" t="s">
        <v>119</v>
      </c>
      <c r="I10" s="20" t="s">
        <v>120</v>
      </c>
      <c r="J10" s="20" t="s">
        <v>121</v>
      </c>
      <c r="K10" s="22"/>
      <c r="L10" s="23" t="n">
        <f aca="false">COUNTIF('Uji QA'!$D$2:$D$129,D10)</f>
        <v>2</v>
      </c>
      <c r="M10" s="23" t="n">
        <f aca="false">COUNTIFS('Uji QA'!$D$2:$D$129,D10,'Uji QA'!$M$2:$M$129,"Lulus")</f>
        <v>0</v>
      </c>
    </row>
    <row r="11" customFormat="false" ht="15" hidden="false" customHeight="false" outlineLevel="0" collapsed="false">
      <c r="A11" s="19" t="n">
        <v>10</v>
      </c>
      <c r="B11" s="20" t="s">
        <v>10</v>
      </c>
      <c r="C11" s="20" t="s">
        <v>113</v>
      </c>
      <c r="D11" s="21" t="s">
        <v>122</v>
      </c>
      <c r="E11" s="19" t="s">
        <v>15</v>
      </c>
      <c r="F11" s="19"/>
      <c r="G11" s="19"/>
      <c r="H11" s="20" t="s">
        <v>123</v>
      </c>
      <c r="I11" s="20" t="s">
        <v>124</v>
      </c>
      <c r="J11" s="20" t="s">
        <v>125</v>
      </c>
      <c r="K11" s="22"/>
      <c r="L11" s="23" t="n">
        <f aca="false">COUNTIF('Uji QA'!$D$2:$D$129,D11)</f>
        <v>1</v>
      </c>
      <c r="M11" s="23" t="n">
        <f aca="false">COUNTIFS('Uji QA'!$D$2:$D$129,D11,'Uji QA'!$M$2:$M$129,"Lulus")</f>
        <v>0</v>
      </c>
    </row>
    <row r="12" customFormat="false" ht="23.85" hidden="false" customHeight="false" outlineLevel="0" collapsed="false">
      <c r="A12" s="19" t="n">
        <v>11</v>
      </c>
      <c r="B12" s="20" t="s">
        <v>10</v>
      </c>
      <c r="C12" s="20" t="s">
        <v>113</v>
      </c>
      <c r="D12" s="21" t="s">
        <v>126</v>
      </c>
      <c r="E12" s="19" t="s">
        <v>15</v>
      </c>
      <c r="F12" s="19"/>
      <c r="G12" s="19"/>
      <c r="H12" s="20" t="s">
        <v>127</v>
      </c>
      <c r="I12" s="20" t="s">
        <v>128</v>
      </c>
      <c r="J12" s="20" t="s">
        <v>129</v>
      </c>
      <c r="K12" s="22"/>
      <c r="L12" s="23" t="n">
        <f aca="false">COUNTIF('Uji QA'!$D$2:$D$129,D12)</f>
        <v>1</v>
      </c>
      <c r="M12" s="23" t="n">
        <f aca="false">COUNTIFS('Uji QA'!$D$2:$D$129,D12,'Uji QA'!$M$2:$M$129,"Lulus")</f>
        <v>0</v>
      </c>
    </row>
    <row r="13" customFormat="false" ht="15" hidden="false" customHeight="false" outlineLevel="0" collapsed="false">
      <c r="A13" s="19" t="n">
        <v>12</v>
      </c>
      <c r="B13" s="20" t="s">
        <v>10</v>
      </c>
      <c r="C13" s="20" t="s">
        <v>113</v>
      </c>
      <c r="D13" s="21" t="s">
        <v>130</v>
      </c>
      <c r="E13" s="19" t="s">
        <v>15</v>
      </c>
      <c r="F13" s="19"/>
      <c r="G13" s="19"/>
      <c r="H13" s="20" t="s">
        <v>131</v>
      </c>
      <c r="I13" s="20" t="s">
        <v>132</v>
      </c>
      <c r="J13" s="20" t="s">
        <v>133</v>
      </c>
      <c r="K13" s="22"/>
      <c r="L13" s="23" t="n">
        <f aca="false">COUNTIF('Uji QA'!$D$2:$D$129,D13)</f>
        <v>1</v>
      </c>
      <c r="M13" s="23" t="n">
        <f aca="false">COUNTIFS('Uji QA'!$D$2:$D$129,D13,'Uji QA'!$M$2:$M$129,"Lulus")</f>
        <v>0</v>
      </c>
    </row>
    <row r="14" customFormat="false" ht="15" hidden="false" customHeight="false" outlineLevel="0" collapsed="false">
      <c r="A14" s="19" t="n">
        <v>13</v>
      </c>
      <c r="B14" s="20" t="s">
        <v>10</v>
      </c>
      <c r="C14" s="20" t="s">
        <v>113</v>
      </c>
      <c r="D14" s="21" t="s">
        <v>134</v>
      </c>
      <c r="E14" s="19" t="s">
        <v>15</v>
      </c>
      <c r="F14" s="19"/>
      <c r="G14" s="19"/>
      <c r="H14" s="20" t="s">
        <v>135</v>
      </c>
      <c r="I14" s="20" t="s">
        <v>136</v>
      </c>
      <c r="J14" s="20" t="s">
        <v>137</v>
      </c>
      <c r="K14" s="22"/>
      <c r="L14" s="23" t="n">
        <f aca="false">COUNTIF('Uji QA'!$D$2:$D$129,D14)</f>
        <v>1</v>
      </c>
      <c r="M14" s="23" t="n">
        <f aca="false">COUNTIFS('Uji QA'!$D$2:$D$129,D14,'Uji QA'!$M$2:$M$129,"Lulus")</f>
        <v>0</v>
      </c>
    </row>
    <row r="15" customFormat="false" ht="23.85" hidden="false" customHeight="false" outlineLevel="0" collapsed="false">
      <c r="A15" s="19" t="n">
        <v>14</v>
      </c>
      <c r="B15" s="20" t="s">
        <v>10</v>
      </c>
      <c r="C15" s="20" t="s">
        <v>113</v>
      </c>
      <c r="D15" s="21" t="s">
        <v>138</v>
      </c>
      <c r="E15" s="19" t="s">
        <v>15</v>
      </c>
      <c r="F15" s="19"/>
      <c r="G15" s="19"/>
      <c r="H15" s="20" t="s">
        <v>139</v>
      </c>
      <c r="I15" s="20" t="s">
        <v>140</v>
      </c>
      <c r="J15" s="20" t="s">
        <v>141</v>
      </c>
      <c r="K15" s="22"/>
      <c r="L15" s="23" t="n">
        <f aca="false">COUNTIF('Uji QA'!$D$2:$D$129,D15)</f>
        <v>2</v>
      </c>
      <c r="M15" s="23" t="n">
        <f aca="false">COUNTIFS('Uji QA'!$D$2:$D$129,D15,'Uji QA'!$M$2:$M$129,"Lulus")</f>
        <v>0</v>
      </c>
    </row>
    <row r="16" customFormat="false" ht="23.85" hidden="false" customHeight="false" outlineLevel="0" collapsed="false">
      <c r="A16" s="19" t="n">
        <v>15</v>
      </c>
      <c r="B16" s="20" t="s">
        <v>10</v>
      </c>
      <c r="C16" s="20" t="s">
        <v>113</v>
      </c>
      <c r="D16" s="21" t="s">
        <v>142</v>
      </c>
      <c r="E16" s="19" t="s">
        <v>15</v>
      </c>
      <c r="F16" s="19"/>
      <c r="G16" s="19"/>
      <c r="H16" s="20" t="s">
        <v>143</v>
      </c>
      <c r="I16" s="20" t="s">
        <v>144</v>
      </c>
      <c r="J16" s="20" t="s">
        <v>145</v>
      </c>
      <c r="K16" s="22"/>
      <c r="L16" s="23" t="n">
        <f aca="false">COUNTIF('Uji QA'!$D$2:$D$129,D16)</f>
        <v>1</v>
      </c>
      <c r="M16" s="23" t="n">
        <f aca="false">COUNTIFS('Uji QA'!$D$2:$D$129,D16,'Uji QA'!$M$2:$M$129,"Lulus")</f>
        <v>0</v>
      </c>
    </row>
    <row r="17" customFormat="false" ht="23.85" hidden="false" customHeight="false" outlineLevel="0" collapsed="false">
      <c r="A17" s="19" t="n">
        <v>16</v>
      </c>
      <c r="B17" s="20" t="s">
        <v>10</v>
      </c>
      <c r="C17" s="20" t="s">
        <v>113</v>
      </c>
      <c r="D17" s="21" t="s">
        <v>146</v>
      </c>
      <c r="E17" s="19" t="s">
        <v>15</v>
      </c>
      <c r="F17" s="19"/>
      <c r="G17" s="19"/>
      <c r="H17" s="20" t="s">
        <v>147</v>
      </c>
      <c r="I17" s="20" t="s">
        <v>148</v>
      </c>
      <c r="J17" s="20" t="s">
        <v>149</v>
      </c>
      <c r="K17" s="22"/>
      <c r="L17" s="23" t="n">
        <f aca="false">COUNTIF('Uji QA'!$D$2:$D$129,D17)</f>
        <v>1</v>
      </c>
      <c r="M17" s="23" t="n">
        <f aca="false">COUNTIFS('Uji QA'!$D$2:$D$129,D17,'Uji QA'!$M$2:$M$129,"Lulus")</f>
        <v>0</v>
      </c>
    </row>
    <row r="18" customFormat="false" ht="23.85" hidden="false" customHeight="false" outlineLevel="0" collapsed="false">
      <c r="A18" s="19" t="n">
        <v>17</v>
      </c>
      <c r="B18" s="20" t="s">
        <v>10</v>
      </c>
      <c r="C18" s="20" t="s">
        <v>113</v>
      </c>
      <c r="D18" s="21" t="s">
        <v>150</v>
      </c>
      <c r="E18" s="19" t="s">
        <v>15</v>
      </c>
      <c r="F18" s="19" t="s">
        <v>89</v>
      </c>
      <c r="G18" s="19"/>
      <c r="H18" s="20" t="s">
        <v>151</v>
      </c>
      <c r="I18" s="20" t="s">
        <v>152</v>
      </c>
      <c r="J18" s="20" t="s">
        <v>153</v>
      </c>
      <c r="K18" s="22"/>
      <c r="L18" s="23" t="n">
        <f aca="false">COUNTIF('Uji QA'!$D$2:$D$129,D18)</f>
        <v>1</v>
      </c>
      <c r="M18" s="23" t="n">
        <f aca="false">COUNTIFS('Uji QA'!$D$2:$D$129,D18,'Uji QA'!$M$2:$M$129,"Lulus")</f>
        <v>0</v>
      </c>
    </row>
    <row r="19" customFormat="false" ht="23.85" hidden="false" customHeight="false" outlineLevel="0" collapsed="false">
      <c r="A19" s="19" t="n">
        <v>18</v>
      </c>
      <c r="B19" s="20" t="s">
        <v>10</v>
      </c>
      <c r="C19" s="20" t="s">
        <v>113</v>
      </c>
      <c r="D19" s="21" t="s">
        <v>154</v>
      </c>
      <c r="E19" s="19" t="s">
        <v>15</v>
      </c>
      <c r="F19" s="19"/>
      <c r="G19" s="19" t="s">
        <v>89</v>
      </c>
      <c r="H19" s="20" t="s">
        <v>155</v>
      </c>
      <c r="I19" s="20" t="s">
        <v>156</v>
      </c>
      <c r="J19" s="20" t="s">
        <v>157</v>
      </c>
      <c r="K19" s="22"/>
      <c r="L19" s="23" t="n">
        <f aca="false">COUNTIF('Uji QA'!$D$2:$D$129,D19)</f>
        <v>1</v>
      </c>
      <c r="M19" s="23" t="n">
        <f aca="false">COUNTIFS('Uji QA'!$D$2:$D$129,D19,'Uji QA'!$M$2:$M$129,"Lulus")</f>
        <v>0</v>
      </c>
    </row>
    <row r="20" customFormat="false" ht="23.85" hidden="false" customHeight="false" outlineLevel="0" collapsed="false">
      <c r="A20" s="19" t="n">
        <v>19</v>
      </c>
      <c r="B20" s="20" t="s">
        <v>10</v>
      </c>
      <c r="C20" s="20" t="s">
        <v>158</v>
      </c>
      <c r="D20" s="21" t="s">
        <v>159</v>
      </c>
      <c r="E20" s="19" t="s">
        <v>15</v>
      </c>
      <c r="F20" s="19"/>
      <c r="G20" s="19"/>
      <c r="H20" s="20" t="s">
        <v>160</v>
      </c>
      <c r="I20" s="20" t="s">
        <v>161</v>
      </c>
      <c r="J20" s="20" t="s">
        <v>162</v>
      </c>
      <c r="K20" s="22"/>
      <c r="L20" s="23" t="n">
        <f aca="false">COUNTIF('Uji QA'!$D$2:$D$129,D20)</f>
        <v>2</v>
      </c>
      <c r="M20" s="23" t="n">
        <f aca="false">COUNTIFS('Uji QA'!$D$2:$D$129,D20,'Uji QA'!$M$2:$M$129,"Lulus")</f>
        <v>0</v>
      </c>
    </row>
    <row r="21" customFormat="false" ht="35.05" hidden="false" customHeight="false" outlineLevel="0" collapsed="false">
      <c r="A21" s="19" t="n">
        <v>20</v>
      </c>
      <c r="B21" s="20" t="s">
        <v>10</v>
      </c>
      <c r="C21" s="20" t="s">
        <v>158</v>
      </c>
      <c r="D21" s="21" t="s">
        <v>163</v>
      </c>
      <c r="E21" s="19" t="s">
        <v>15</v>
      </c>
      <c r="F21" s="19"/>
      <c r="G21" s="19"/>
      <c r="H21" s="20" t="s">
        <v>164</v>
      </c>
      <c r="I21" s="20" t="s">
        <v>165</v>
      </c>
      <c r="J21" s="20" t="s">
        <v>166</v>
      </c>
      <c r="K21" s="22"/>
      <c r="L21" s="23" t="n">
        <f aca="false">COUNTIF('Uji QA'!$D$2:$D$129,D21)</f>
        <v>1</v>
      </c>
      <c r="M21" s="23" t="n">
        <f aca="false">COUNTIFS('Uji QA'!$D$2:$D$129,D21,'Uji QA'!$M$2:$M$129,"Lulus")</f>
        <v>0</v>
      </c>
    </row>
    <row r="22" customFormat="false" ht="23.85" hidden="false" customHeight="false" outlineLevel="0" collapsed="false">
      <c r="A22" s="19" t="n">
        <v>21</v>
      </c>
      <c r="B22" s="20" t="s">
        <v>10</v>
      </c>
      <c r="C22" s="20" t="s">
        <v>158</v>
      </c>
      <c r="D22" s="21" t="s">
        <v>167</v>
      </c>
      <c r="E22" s="19" t="s">
        <v>15</v>
      </c>
      <c r="F22" s="19"/>
      <c r="G22" s="19"/>
      <c r="H22" s="20" t="s">
        <v>168</v>
      </c>
      <c r="I22" s="20" t="s">
        <v>169</v>
      </c>
      <c r="J22" s="20" t="s">
        <v>170</v>
      </c>
      <c r="K22" s="22"/>
      <c r="L22" s="23" t="n">
        <f aca="false">COUNTIF('Uji QA'!$D$2:$D$129,D22)</f>
        <v>1</v>
      </c>
      <c r="M22" s="23" t="n">
        <f aca="false">COUNTIFS('Uji QA'!$D$2:$D$129,D22,'Uji QA'!$M$2:$M$129,"Lulus")</f>
        <v>0</v>
      </c>
    </row>
    <row r="23" customFormat="false" ht="23.85" hidden="false" customHeight="false" outlineLevel="0" collapsed="false">
      <c r="A23" s="19" t="n">
        <v>22</v>
      </c>
      <c r="B23" s="20" t="s">
        <v>10</v>
      </c>
      <c r="C23" s="20" t="s">
        <v>158</v>
      </c>
      <c r="D23" s="21" t="s">
        <v>171</v>
      </c>
      <c r="E23" s="19" t="s">
        <v>15</v>
      </c>
      <c r="F23" s="19"/>
      <c r="G23" s="19"/>
      <c r="H23" s="20" t="s">
        <v>172</v>
      </c>
      <c r="I23" s="20" t="s">
        <v>173</v>
      </c>
      <c r="J23" s="20" t="s">
        <v>174</v>
      </c>
      <c r="K23" s="22"/>
      <c r="L23" s="23" t="n">
        <f aca="false">COUNTIF('Uji QA'!$D$2:$D$129,D23)</f>
        <v>2</v>
      </c>
      <c r="M23" s="23" t="n">
        <f aca="false">COUNTIFS('Uji QA'!$D$2:$D$129,D23,'Uji QA'!$M$2:$M$129,"Lulus")</f>
        <v>0</v>
      </c>
    </row>
    <row r="24" customFormat="false" ht="23.85" hidden="false" customHeight="false" outlineLevel="0" collapsed="false">
      <c r="A24" s="19" t="n">
        <v>23</v>
      </c>
      <c r="B24" s="20" t="s">
        <v>10</v>
      </c>
      <c r="C24" s="20" t="s">
        <v>158</v>
      </c>
      <c r="D24" s="21" t="s">
        <v>175</v>
      </c>
      <c r="E24" s="19" t="s">
        <v>15</v>
      </c>
      <c r="F24" s="19"/>
      <c r="G24" s="19"/>
      <c r="H24" s="20" t="s">
        <v>176</v>
      </c>
      <c r="I24" s="20" t="s">
        <v>177</v>
      </c>
      <c r="J24" s="20" t="s">
        <v>178</v>
      </c>
      <c r="K24" s="22"/>
      <c r="L24" s="23" t="n">
        <f aca="false">COUNTIF('Uji QA'!$D$2:$D$129,D24)</f>
        <v>3</v>
      </c>
      <c r="M24" s="23" t="n">
        <f aca="false">COUNTIFS('Uji QA'!$D$2:$D$129,D24,'Uji QA'!$M$2:$M$129,"Lulus")</f>
        <v>0</v>
      </c>
    </row>
    <row r="25" customFormat="false" ht="23.85" hidden="false" customHeight="false" outlineLevel="0" collapsed="false">
      <c r="A25" s="19" t="n">
        <v>24</v>
      </c>
      <c r="B25" s="20" t="s">
        <v>10</v>
      </c>
      <c r="C25" s="20" t="s">
        <v>158</v>
      </c>
      <c r="D25" s="21" t="s">
        <v>179</v>
      </c>
      <c r="E25" s="19" t="s">
        <v>15</v>
      </c>
      <c r="F25" s="19" t="s">
        <v>89</v>
      </c>
      <c r="G25" s="19"/>
      <c r="H25" s="20" t="s">
        <v>180</v>
      </c>
      <c r="I25" s="20" t="s">
        <v>181</v>
      </c>
      <c r="J25" s="20" t="s">
        <v>182</v>
      </c>
      <c r="K25" s="22"/>
      <c r="L25" s="23" t="n">
        <f aca="false">COUNTIF('Uji QA'!$D$2:$D$129,D25)</f>
        <v>1</v>
      </c>
      <c r="M25" s="23" t="n">
        <f aca="false">COUNTIFS('Uji QA'!$D$2:$D$129,D25,'Uji QA'!$M$2:$M$129,"Lulus")</f>
        <v>0</v>
      </c>
    </row>
    <row r="26" customFormat="false" ht="23.85" hidden="false" customHeight="false" outlineLevel="0" collapsed="false">
      <c r="A26" s="19" t="n">
        <v>25</v>
      </c>
      <c r="B26" s="20" t="s">
        <v>10</v>
      </c>
      <c r="C26" s="20" t="s">
        <v>158</v>
      </c>
      <c r="D26" s="21" t="s">
        <v>183</v>
      </c>
      <c r="E26" s="19" t="s">
        <v>15</v>
      </c>
      <c r="F26" s="19" t="s">
        <v>89</v>
      </c>
      <c r="G26" s="19"/>
      <c r="H26" s="20" t="s">
        <v>184</v>
      </c>
      <c r="I26" s="20" t="s">
        <v>185</v>
      </c>
      <c r="J26" s="20" t="s">
        <v>186</v>
      </c>
      <c r="K26" s="22"/>
      <c r="L26" s="23" t="n">
        <f aca="false">COUNTIF('Uji QA'!$D$2:$D$129,D26)</f>
        <v>2</v>
      </c>
      <c r="M26" s="23" t="n">
        <f aca="false">COUNTIFS('Uji QA'!$D$2:$D$129,D26,'Uji QA'!$M$2:$M$129,"Lulus")</f>
        <v>0</v>
      </c>
    </row>
    <row r="27" customFormat="false" ht="15" hidden="false" customHeight="false" outlineLevel="0" collapsed="false">
      <c r="A27" s="19" t="n">
        <v>26</v>
      </c>
      <c r="B27" s="20" t="s">
        <v>10</v>
      </c>
      <c r="C27" s="20" t="s">
        <v>187</v>
      </c>
      <c r="D27" s="21" t="s">
        <v>188</v>
      </c>
      <c r="E27" s="19" t="s">
        <v>15</v>
      </c>
      <c r="F27" s="19"/>
      <c r="G27" s="19"/>
      <c r="H27" s="20" t="s">
        <v>189</v>
      </c>
      <c r="I27" s="20" t="s">
        <v>190</v>
      </c>
      <c r="J27" s="20" t="s">
        <v>191</v>
      </c>
      <c r="K27" s="22"/>
      <c r="L27" s="23" t="n">
        <f aca="false">COUNTIF('Uji QA'!$D$2:$D$129,D27)</f>
        <v>1</v>
      </c>
      <c r="M27" s="23" t="n">
        <f aca="false">COUNTIFS('Uji QA'!$D$2:$D$129,D27,'Uji QA'!$M$2:$M$129,"Lulus")</f>
        <v>0</v>
      </c>
    </row>
    <row r="28" customFormat="false" ht="15" hidden="false" customHeight="false" outlineLevel="0" collapsed="false">
      <c r="A28" s="19" t="n">
        <v>27</v>
      </c>
      <c r="B28" s="20" t="s">
        <v>10</v>
      </c>
      <c r="C28" s="20" t="s">
        <v>187</v>
      </c>
      <c r="D28" s="21" t="s">
        <v>192</v>
      </c>
      <c r="E28" s="19" t="s">
        <v>15</v>
      </c>
      <c r="F28" s="19"/>
      <c r="G28" s="19"/>
      <c r="H28" s="20" t="s">
        <v>193</v>
      </c>
      <c r="I28" s="20" t="s">
        <v>194</v>
      </c>
      <c r="J28" s="20" t="s">
        <v>195</v>
      </c>
      <c r="K28" s="22"/>
      <c r="L28" s="23" t="n">
        <f aca="false">COUNTIF('Uji QA'!$D$2:$D$129,D28)</f>
        <v>1</v>
      </c>
      <c r="M28" s="23" t="n">
        <f aca="false">COUNTIFS('Uji QA'!$D$2:$D$129,D28,'Uji QA'!$M$2:$M$129,"Lulus")</f>
        <v>0</v>
      </c>
    </row>
    <row r="29" customFormat="false" ht="15" hidden="false" customHeight="false" outlineLevel="0" collapsed="false">
      <c r="A29" s="19" t="n">
        <v>28</v>
      </c>
      <c r="B29" s="20" t="s">
        <v>10</v>
      </c>
      <c r="C29" s="20" t="s">
        <v>187</v>
      </c>
      <c r="D29" s="21" t="s">
        <v>196</v>
      </c>
      <c r="E29" s="19" t="s">
        <v>15</v>
      </c>
      <c r="F29" s="19"/>
      <c r="G29" s="19"/>
      <c r="H29" s="20" t="s">
        <v>197</v>
      </c>
      <c r="I29" s="20" t="s">
        <v>198</v>
      </c>
      <c r="J29" s="20" t="s">
        <v>199</v>
      </c>
      <c r="K29" s="22"/>
      <c r="L29" s="23" t="n">
        <f aca="false">COUNTIF('Uji QA'!$D$2:$D$129,D29)</f>
        <v>1</v>
      </c>
      <c r="M29" s="23" t="n">
        <f aca="false">COUNTIFS('Uji QA'!$D$2:$D$129,D29,'Uji QA'!$M$2:$M$129,"Lulus")</f>
        <v>0</v>
      </c>
    </row>
    <row r="30" customFormat="false" ht="15" hidden="false" customHeight="false" outlineLevel="0" collapsed="false">
      <c r="A30" s="19" t="n">
        <v>29</v>
      </c>
      <c r="B30" s="20" t="s">
        <v>10</v>
      </c>
      <c r="C30" s="20" t="s">
        <v>187</v>
      </c>
      <c r="D30" s="21" t="s">
        <v>200</v>
      </c>
      <c r="E30" s="19" t="s">
        <v>15</v>
      </c>
      <c r="F30" s="19"/>
      <c r="G30" s="19"/>
      <c r="H30" s="20" t="s">
        <v>201</v>
      </c>
      <c r="I30" s="20" t="s">
        <v>202</v>
      </c>
      <c r="J30" s="20" t="s">
        <v>203</v>
      </c>
      <c r="K30" s="22"/>
      <c r="L30" s="23" t="n">
        <f aca="false">COUNTIF('Uji QA'!$D$2:$D$129,D30)</f>
        <v>1</v>
      </c>
      <c r="M30" s="23" t="n">
        <f aca="false">COUNTIFS('Uji QA'!$D$2:$D$129,D30,'Uji QA'!$M$2:$M$129,"Lulus")</f>
        <v>0</v>
      </c>
    </row>
    <row r="31" customFormat="false" ht="15" hidden="false" customHeight="false" outlineLevel="0" collapsed="false">
      <c r="A31" s="19" t="n">
        <v>30</v>
      </c>
      <c r="B31" s="20" t="s">
        <v>10</v>
      </c>
      <c r="C31" s="20" t="s">
        <v>187</v>
      </c>
      <c r="D31" s="21" t="s">
        <v>204</v>
      </c>
      <c r="E31" s="19" t="s">
        <v>15</v>
      </c>
      <c r="F31" s="19"/>
      <c r="G31" s="19"/>
      <c r="H31" s="20" t="s">
        <v>205</v>
      </c>
      <c r="I31" s="20" t="s">
        <v>206</v>
      </c>
      <c r="J31" s="20" t="s">
        <v>207</v>
      </c>
      <c r="K31" s="22"/>
      <c r="L31" s="23" t="n">
        <f aca="false">COUNTIF('Uji QA'!$D$2:$D$129,D31)</f>
        <v>2</v>
      </c>
      <c r="M31" s="23" t="n">
        <f aca="false">COUNTIFS('Uji QA'!$D$2:$D$129,D31,'Uji QA'!$M$2:$M$129,"Lulus")</f>
        <v>0</v>
      </c>
    </row>
    <row r="32" customFormat="false" ht="23.85" hidden="false" customHeight="false" outlineLevel="0" collapsed="false">
      <c r="A32" s="19" t="n">
        <v>31</v>
      </c>
      <c r="B32" s="20" t="s">
        <v>10</v>
      </c>
      <c r="C32" s="20" t="s">
        <v>187</v>
      </c>
      <c r="D32" s="21" t="s">
        <v>208</v>
      </c>
      <c r="E32" s="19" t="s">
        <v>15</v>
      </c>
      <c r="F32" s="19"/>
      <c r="G32" s="19"/>
      <c r="H32" s="20" t="s">
        <v>209</v>
      </c>
      <c r="I32" s="20" t="s">
        <v>210</v>
      </c>
      <c r="J32" s="20" t="s">
        <v>211</v>
      </c>
      <c r="K32" s="22"/>
      <c r="L32" s="23" t="n">
        <f aca="false">COUNTIF('Uji QA'!$D$2:$D$129,D32)</f>
        <v>1</v>
      </c>
      <c r="M32" s="23" t="n">
        <f aca="false">COUNTIFS('Uji QA'!$D$2:$D$129,D32,'Uji QA'!$M$2:$M$129,"Lulus")</f>
        <v>0</v>
      </c>
    </row>
    <row r="33" customFormat="false" ht="15" hidden="false" customHeight="false" outlineLevel="0" collapsed="false">
      <c r="A33" s="19" t="n">
        <v>32</v>
      </c>
      <c r="B33" s="20" t="s">
        <v>10</v>
      </c>
      <c r="C33" s="20" t="s">
        <v>187</v>
      </c>
      <c r="D33" s="21" t="s">
        <v>212</v>
      </c>
      <c r="E33" s="19" t="s">
        <v>15</v>
      </c>
      <c r="F33" s="19"/>
      <c r="G33" s="19"/>
      <c r="H33" s="20" t="s">
        <v>213</v>
      </c>
      <c r="I33" s="20" t="s">
        <v>214</v>
      </c>
      <c r="J33" s="20" t="s">
        <v>215</v>
      </c>
      <c r="K33" s="22"/>
      <c r="L33" s="23" t="n">
        <f aca="false">COUNTIF('Uji QA'!$D$2:$D$129,D33)</f>
        <v>1</v>
      </c>
      <c r="M33" s="23" t="n">
        <f aca="false">COUNTIFS('Uji QA'!$D$2:$D$129,D33,'Uji QA'!$M$2:$M$129,"Lulus")</f>
        <v>0</v>
      </c>
    </row>
    <row r="34" customFormat="false" ht="35.05" hidden="false" customHeight="false" outlineLevel="0" collapsed="false">
      <c r="A34" s="19" t="n">
        <v>33</v>
      </c>
      <c r="B34" s="20" t="s">
        <v>10</v>
      </c>
      <c r="C34" s="20" t="s">
        <v>187</v>
      </c>
      <c r="D34" s="21" t="s">
        <v>216</v>
      </c>
      <c r="E34" s="19" t="s">
        <v>15</v>
      </c>
      <c r="F34" s="19"/>
      <c r="G34" s="19" t="s">
        <v>89</v>
      </c>
      <c r="H34" s="20" t="s">
        <v>217</v>
      </c>
      <c r="I34" s="20" t="s">
        <v>218</v>
      </c>
      <c r="J34" s="20" t="s">
        <v>219</v>
      </c>
      <c r="K34" s="22"/>
      <c r="L34" s="23" t="n">
        <f aca="false">COUNTIF('Uji QA'!$D$2:$D$129,D34)</f>
        <v>2</v>
      </c>
      <c r="M34" s="23" t="n">
        <f aca="false">COUNTIFS('Uji QA'!$D$2:$D$129,D34,'Uji QA'!$M$2:$M$129,"Lulus")</f>
        <v>0</v>
      </c>
    </row>
    <row r="35" customFormat="false" ht="23.85" hidden="false" customHeight="false" outlineLevel="0" collapsed="false">
      <c r="A35" s="19" t="n">
        <v>34</v>
      </c>
      <c r="B35" s="20" t="s">
        <v>10</v>
      </c>
      <c r="C35" s="20" t="s">
        <v>220</v>
      </c>
      <c r="D35" s="21" t="s">
        <v>221</v>
      </c>
      <c r="E35" s="19" t="s">
        <v>15</v>
      </c>
      <c r="F35" s="19"/>
      <c r="G35" s="19" t="s">
        <v>89</v>
      </c>
      <c r="H35" s="20" t="s">
        <v>222</v>
      </c>
      <c r="I35" s="20" t="s">
        <v>223</v>
      </c>
      <c r="J35" s="20" t="s">
        <v>224</v>
      </c>
      <c r="K35" s="22"/>
      <c r="L35" s="23" t="n">
        <f aca="false">COUNTIF('Uji QA'!$D$2:$D$129,D35)</f>
        <v>1</v>
      </c>
      <c r="M35" s="23" t="n">
        <f aca="false">COUNTIFS('Uji QA'!$D$2:$D$129,D35,'Uji QA'!$M$2:$M$129,"Lulus")</f>
        <v>0</v>
      </c>
    </row>
    <row r="36" customFormat="false" ht="23.85" hidden="false" customHeight="false" outlineLevel="0" collapsed="false">
      <c r="A36" s="19" t="n">
        <v>35</v>
      </c>
      <c r="B36" s="20" t="s">
        <v>10</v>
      </c>
      <c r="C36" s="20" t="s">
        <v>220</v>
      </c>
      <c r="D36" s="21" t="s">
        <v>225</v>
      </c>
      <c r="E36" s="19" t="s">
        <v>15</v>
      </c>
      <c r="F36" s="19"/>
      <c r="G36" s="19" t="s">
        <v>89</v>
      </c>
      <c r="H36" s="20" t="s">
        <v>226</v>
      </c>
      <c r="I36" s="20" t="s">
        <v>227</v>
      </c>
      <c r="J36" s="20" t="s">
        <v>228</v>
      </c>
      <c r="K36" s="22"/>
      <c r="L36" s="23" t="n">
        <f aca="false">COUNTIF('Uji QA'!$D$2:$D$129,D36)</f>
        <v>2</v>
      </c>
      <c r="M36" s="23" t="n">
        <f aca="false">COUNTIFS('Uji QA'!$D$2:$D$129,D36,'Uji QA'!$M$2:$M$129,"Lulus")</f>
        <v>0</v>
      </c>
    </row>
    <row r="37" customFormat="false" ht="23.85" hidden="false" customHeight="false" outlineLevel="0" collapsed="false">
      <c r="A37" s="19" t="n">
        <v>36</v>
      </c>
      <c r="B37" s="20" t="s">
        <v>10</v>
      </c>
      <c r="C37" s="20" t="s">
        <v>220</v>
      </c>
      <c r="D37" s="21" t="s">
        <v>229</v>
      </c>
      <c r="E37" s="19" t="s">
        <v>15</v>
      </c>
      <c r="F37" s="19"/>
      <c r="G37" s="19" t="s">
        <v>89</v>
      </c>
      <c r="H37" s="20" t="s">
        <v>230</v>
      </c>
      <c r="I37" s="20" t="s">
        <v>231</v>
      </c>
      <c r="J37" s="20" t="s">
        <v>232</v>
      </c>
      <c r="K37" s="22"/>
      <c r="L37" s="23" t="n">
        <f aca="false">COUNTIF('Uji QA'!$D$2:$D$129,D37)</f>
        <v>1</v>
      </c>
      <c r="M37" s="23" t="n">
        <f aca="false">COUNTIFS('Uji QA'!$D$2:$D$129,D37,'Uji QA'!$M$2:$M$129,"Lulus")</f>
        <v>0</v>
      </c>
    </row>
    <row r="38" customFormat="false" ht="23.85" hidden="false" customHeight="false" outlineLevel="0" collapsed="false">
      <c r="A38" s="19" t="n">
        <v>37</v>
      </c>
      <c r="B38" s="20" t="s">
        <v>11</v>
      </c>
      <c r="C38" s="20" t="s">
        <v>233</v>
      </c>
      <c r="D38" s="21" t="s">
        <v>234</v>
      </c>
      <c r="E38" s="19" t="s">
        <v>15</v>
      </c>
      <c r="F38" s="19"/>
      <c r="G38" s="19" t="s">
        <v>89</v>
      </c>
      <c r="H38" s="20" t="s">
        <v>235</v>
      </c>
      <c r="I38" s="20" t="s">
        <v>236</v>
      </c>
      <c r="J38" s="20" t="s">
        <v>237</v>
      </c>
      <c r="K38" s="22"/>
      <c r="L38" s="23" t="n">
        <f aca="false">COUNTIF('Uji QA'!$D$2:$D$129,D38)</f>
        <v>2</v>
      </c>
      <c r="M38" s="23" t="n">
        <f aca="false">COUNTIFS('Uji QA'!$D$2:$D$129,D38,'Uji QA'!$M$2:$M$129,"Lulus")</f>
        <v>0</v>
      </c>
    </row>
    <row r="39" customFormat="false" ht="23.85" hidden="false" customHeight="false" outlineLevel="0" collapsed="false">
      <c r="A39" s="19" t="n">
        <v>38</v>
      </c>
      <c r="B39" s="20" t="s">
        <v>11</v>
      </c>
      <c r="C39" s="20" t="s">
        <v>233</v>
      </c>
      <c r="D39" s="21" t="s">
        <v>238</v>
      </c>
      <c r="E39" s="19" t="s">
        <v>15</v>
      </c>
      <c r="F39" s="19"/>
      <c r="G39" s="19"/>
      <c r="H39" s="20" t="s">
        <v>239</v>
      </c>
      <c r="I39" s="20" t="s">
        <v>240</v>
      </c>
      <c r="J39" s="20" t="s">
        <v>241</v>
      </c>
      <c r="K39" s="22"/>
      <c r="L39" s="23" t="n">
        <f aca="false">COUNTIF('Uji QA'!$D$2:$D$129,D39)</f>
        <v>1</v>
      </c>
      <c r="M39" s="23" t="n">
        <f aca="false">COUNTIFS('Uji QA'!$D$2:$D$129,D39,'Uji QA'!$M$2:$M$129,"Lulus")</f>
        <v>0</v>
      </c>
    </row>
    <row r="40" customFormat="false" ht="23.85" hidden="false" customHeight="false" outlineLevel="0" collapsed="false">
      <c r="A40" s="19" t="n">
        <v>39</v>
      </c>
      <c r="B40" s="20" t="s">
        <v>11</v>
      </c>
      <c r="C40" s="20" t="s">
        <v>233</v>
      </c>
      <c r="D40" s="21" t="s">
        <v>242</v>
      </c>
      <c r="E40" s="19" t="s">
        <v>15</v>
      </c>
      <c r="F40" s="19"/>
      <c r="G40" s="19"/>
      <c r="H40" s="20" t="s">
        <v>243</v>
      </c>
      <c r="I40" s="20" t="s">
        <v>244</v>
      </c>
      <c r="J40" s="20" t="s">
        <v>245</v>
      </c>
      <c r="K40" s="22"/>
      <c r="L40" s="23" t="n">
        <f aca="false">COUNTIF('Uji QA'!$D$2:$D$129,D40)</f>
        <v>1</v>
      </c>
      <c r="M40" s="23" t="n">
        <f aca="false">COUNTIFS('Uji QA'!$D$2:$D$129,D40,'Uji QA'!$M$2:$M$129,"Lulus")</f>
        <v>0</v>
      </c>
    </row>
    <row r="41" customFormat="false" ht="23.85" hidden="false" customHeight="false" outlineLevel="0" collapsed="false">
      <c r="A41" s="19" t="n">
        <v>40</v>
      </c>
      <c r="B41" s="20" t="s">
        <v>11</v>
      </c>
      <c r="C41" s="20" t="s">
        <v>233</v>
      </c>
      <c r="D41" s="21" t="s">
        <v>246</v>
      </c>
      <c r="E41" s="19" t="s">
        <v>15</v>
      </c>
      <c r="F41" s="19"/>
      <c r="G41" s="19" t="s">
        <v>89</v>
      </c>
      <c r="H41" s="20" t="s">
        <v>247</v>
      </c>
      <c r="I41" s="20" t="s">
        <v>248</v>
      </c>
      <c r="J41" s="20" t="s">
        <v>249</v>
      </c>
      <c r="K41" s="22"/>
      <c r="L41" s="23" t="n">
        <f aca="false">COUNTIF('Uji QA'!$D$2:$D$129,D41)</f>
        <v>1</v>
      </c>
      <c r="M41" s="23" t="n">
        <f aca="false">COUNTIFS('Uji QA'!$D$2:$D$129,D41,'Uji QA'!$M$2:$M$129,"Lulus")</f>
        <v>0</v>
      </c>
    </row>
    <row r="42" customFormat="false" ht="23.85" hidden="false" customHeight="false" outlineLevel="0" collapsed="false">
      <c r="A42" s="19" t="n">
        <v>41</v>
      </c>
      <c r="B42" s="20" t="s">
        <v>11</v>
      </c>
      <c r="C42" s="20" t="s">
        <v>233</v>
      </c>
      <c r="D42" s="21" t="s">
        <v>250</v>
      </c>
      <c r="E42" s="19" t="s">
        <v>15</v>
      </c>
      <c r="F42" s="19" t="s">
        <v>89</v>
      </c>
      <c r="G42" s="19"/>
      <c r="H42" s="20" t="s">
        <v>251</v>
      </c>
      <c r="I42" s="20" t="s">
        <v>252</v>
      </c>
      <c r="J42" s="20" t="s">
        <v>253</v>
      </c>
      <c r="K42" s="22"/>
      <c r="L42" s="23" t="n">
        <f aca="false">COUNTIF('Uji QA'!$D$2:$D$129,D42)</f>
        <v>2</v>
      </c>
      <c r="M42" s="23" t="n">
        <f aca="false">COUNTIFS('Uji QA'!$D$2:$D$129,D42,'Uji QA'!$M$2:$M$129,"Lulus")</f>
        <v>0</v>
      </c>
    </row>
    <row r="43" customFormat="false" ht="23.85" hidden="false" customHeight="false" outlineLevel="0" collapsed="false">
      <c r="A43" s="19" t="n">
        <v>42</v>
      </c>
      <c r="B43" s="20" t="s">
        <v>11</v>
      </c>
      <c r="C43" s="20" t="s">
        <v>233</v>
      </c>
      <c r="D43" s="21" t="s">
        <v>254</v>
      </c>
      <c r="E43" s="19" t="s">
        <v>15</v>
      </c>
      <c r="F43" s="19"/>
      <c r="G43" s="19"/>
      <c r="H43" s="20" t="s">
        <v>255</v>
      </c>
      <c r="I43" s="20" t="s">
        <v>256</v>
      </c>
      <c r="J43" s="20" t="s">
        <v>257</v>
      </c>
      <c r="K43" s="22"/>
      <c r="L43" s="23" t="n">
        <f aca="false">COUNTIF('Uji QA'!$D$2:$D$129,D43)</f>
        <v>2</v>
      </c>
      <c r="M43" s="23" t="n">
        <f aca="false">COUNTIFS('Uji QA'!$D$2:$D$129,D43,'Uji QA'!$M$2:$M$129,"Lulus")</f>
        <v>0</v>
      </c>
    </row>
    <row r="44" customFormat="false" ht="23.85" hidden="false" customHeight="false" outlineLevel="0" collapsed="false">
      <c r="A44" s="19" t="n">
        <v>43</v>
      </c>
      <c r="B44" s="20" t="s">
        <v>11</v>
      </c>
      <c r="C44" s="20" t="s">
        <v>258</v>
      </c>
      <c r="D44" s="21" t="s">
        <v>259</v>
      </c>
      <c r="E44" s="19" t="s">
        <v>15</v>
      </c>
      <c r="F44" s="19"/>
      <c r="G44" s="19"/>
      <c r="H44" s="20" t="s">
        <v>260</v>
      </c>
      <c r="I44" s="20" t="s">
        <v>261</v>
      </c>
      <c r="J44" s="20" t="s">
        <v>262</v>
      </c>
      <c r="K44" s="22"/>
      <c r="L44" s="23" t="n">
        <f aca="false">COUNTIF('Uji QA'!$D$2:$D$129,D44)</f>
        <v>1</v>
      </c>
      <c r="M44" s="23" t="n">
        <f aca="false">COUNTIFS('Uji QA'!$D$2:$D$129,D44,'Uji QA'!$M$2:$M$129,"Lulus")</f>
        <v>0</v>
      </c>
    </row>
    <row r="45" customFormat="false" ht="23.85" hidden="false" customHeight="false" outlineLevel="0" collapsed="false">
      <c r="A45" s="19" t="n">
        <v>44</v>
      </c>
      <c r="B45" s="20" t="s">
        <v>11</v>
      </c>
      <c r="C45" s="20" t="s">
        <v>258</v>
      </c>
      <c r="D45" s="21" t="s">
        <v>263</v>
      </c>
      <c r="E45" s="19" t="s">
        <v>15</v>
      </c>
      <c r="F45" s="19"/>
      <c r="G45" s="19"/>
      <c r="H45" s="20" t="s">
        <v>264</v>
      </c>
      <c r="I45" s="20" t="s">
        <v>265</v>
      </c>
      <c r="J45" s="20" t="s">
        <v>266</v>
      </c>
      <c r="K45" s="22"/>
      <c r="L45" s="23" t="n">
        <f aca="false">COUNTIF('Uji QA'!$D$2:$D$129,D45)</f>
        <v>1</v>
      </c>
      <c r="M45" s="23" t="n">
        <f aca="false">COUNTIFS('Uji QA'!$D$2:$D$129,D45,'Uji QA'!$M$2:$M$129,"Lulus")</f>
        <v>0</v>
      </c>
    </row>
    <row r="46" customFormat="false" ht="23.85" hidden="false" customHeight="false" outlineLevel="0" collapsed="false">
      <c r="A46" s="19" t="n">
        <v>45</v>
      </c>
      <c r="B46" s="20" t="s">
        <v>11</v>
      </c>
      <c r="C46" s="20" t="s">
        <v>258</v>
      </c>
      <c r="D46" s="21" t="s">
        <v>267</v>
      </c>
      <c r="E46" s="19" t="s">
        <v>15</v>
      </c>
      <c r="F46" s="19"/>
      <c r="G46" s="19"/>
      <c r="H46" s="20" t="s">
        <v>268</v>
      </c>
      <c r="I46" s="20" t="s">
        <v>269</v>
      </c>
      <c r="J46" s="20" t="s">
        <v>270</v>
      </c>
      <c r="K46" s="22"/>
      <c r="L46" s="23" t="n">
        <f aca="false">COUNTIF('Uji QA'!$D$2:$D$129,D46)</f>
        <v>1</v>
      </c>
      <c r="M46" s="23" t="n">
        <f aca="false">COUNTIFS('Uji QA'!$D$2:$D$129,D46,'Uji QA'!$M$2:$M$129,"Lulus")</f>
        <v>0</v>
      </c>
    </row>
    <row r="47" customFormat="false" ht="23.85" hidden="false" customHeight="false" outlineLevel="0" collapsed="false">
      <c r="A47" s="19" t="n">
        <v>46</v>
      </c>
      <c r="B47" s="20" t="s">
        <v>11</v>
      </c>
      <c r="C47" s="20" t="s">
        <v>258</v>
      </c>
      <c r="D47" s="21" t="s">
        <v>271</v>
      </c>
      <c r="E47" s="19" t="s">
        <v>15</v>
      </c>
      <c r="F47" s="19"/>
      <c r="G47" s="19"/>
      <c r="H47" s="20" t="s">
        <v>272</v>
      </c>
      <c r="I47" s="20" t="s">
        <v>273</v>
      </c>
      <c r="J47" s="20" t="s">
        <v>274</v>
      </c>
      <c r="K47" s="22"/>
      <c r="L47" s="23" t="n">
        <f aca="false">COUNTIF('Uji QA'!$D$2:$D$129,D47)</f>
        <v>1</v>
      </c>
      <c r="M47" s="23" t="n">
        <f aca="false">COUNTIFS('Uji QA'!$D$2:$D$129,D47,'Uji QA'!$M$2:$M$129,"Lulus")</f>
        <v>0</v>
      </c>
    </row>
    <row r="48" customFormat="false" ht="23.85" hidden="false" customHeight="false" outlineLevel="0" collapsed="false">
      <c r="A48" s="19" t="n">
        <v>47</v>
      </c>
      <c r="B48" s="20" t="s">
        <v>11</v>
      </c>
      <c r="C48" s="20" t="s">
        <v>258</v>
      </c>
      <c r="D48" s="21" t="s">
        <v>275</v>
      </c>
      <c r="E48" s="19" t="s">
        <v>15</v>
      </c>
      <c r="F48" s="19" t="s">
        <v>89</v>
      </c>
      <c r="G48" s="19" t="s">
        <v>89</v>
      </c>
      <c r="H48" s="20" t="s">
        <v>276</v>
      </c>
      <c r="I48" s="20" t="s">
        <v>277</v>
      </c>
      <c r="J48" s="20" t="s">
        <v>278</v>
      </c>
      <c r="K48" s="22"/>
      <c r="L48" s="23" t="n">
        <f aca="false">COUNTIF('Uji QA'!$D$2:$D$129,D48)</f>
        <v>1</v>
      </c>
      <c r="M48" s="23" t="n">
        <f aca="false">COUNTIFS('Uji QA'!$D$2:$D$129,D48,'Uji QA'!$M$2:$M$129,"Lulus")</f>
        <v>0</v>
      </c>
    </row>
    <row r="49" customFormat="false" ht="23.85" hidden="false" customHeight="false" outlineLevel="0" collapsed="false">
      <c r="A49" s="19" t="n">
        <v>48</v>
      </c>
      <c r="B49" s="20" t="s">
        <v>11</v>
      </c>
      <c r="C49" s="20" t="s">
        <v>258</v>
      </c>
      <c r="D49" s="21" t="s">
        <v>279</v>
      </c>
      <c r="E49" s="19" t="s">
        <v>15</v>
      </c>
      <c r="F49" s="19"/>
      <c r="G49" s="19"/>
      <c r="H49" s="20" t="s">
        <v>280</v>
      </c>
      <c r="I49" s="20" t="s">
        <v>281</v>
      </c>
      <c r="J49" s="20" t="s">
        <v>282</v>
      </c>
      <c r="K49" s="22"/>
      <c r="L49" s="23" t="n">
        <f aca="false">COUNTIF('Uji QA'!$D$2:$D$129,D49)</f>
        <v>1</v>
      </c>
      <c r="M49" s="23" t="n">
        <f aca="false">COUNTIFS('Uji QA'!$D$2:$D$129,D49,'Uji QA'!$M$2:$M$129,"Lulus")</f>
        <v>0</v>
      </c>
    </row>
    <row r="50" customFormat="false" ht="23.85" hidden="false" customHeight="false" outlineLevel="0" collapsed="false">
      <c r="A50" s="19" t="n">
        <v>49</v>
      </c>
      <c r="B50" s="20" t="s">
        <v>11</v>
      </c>
      <c r="C50" s="20" t="s">
        <v>258</v>
      </c>
      <c r="D50" s="21" t="s">
        <v>283</v>
      </c>
      <c r="E50" s="19" t="s">
        <v>15</v>
      </c>
      <c r="F50" s="19"/>
      <c r="G50" s="19"/>
      <c r="H50" s="20" t="s">
        <v>284</v>
      </c>
      <c r="I50" s="20" t="s">
        <v>285</v>
      </c>
      <c r="J50" s="20" t="s">
        <v>286</v>
      </c>
      <c r="K50" s="22"/>
      <c r="L50" s="23" t="n">
        <f aca="false">COUNTIF('Uji QA'!$D$2:$D$129,D50)</f>
        <v>1</v>
      </c>
      <c r="M50" s="23" t="n">
        <f aca="false">COUNTIFS('Uji QA'!$D$2:$D$129,D50,'Uji QA'!$M$2:$M$129,"Lulus")</f>
        <v>0</v>
      </c>
    </row>
    <row r="51" customFormat="false" ht="23.85" hidden="false" customHeight="false" outlineLevel="0" collapsed="false">
      <c r="A51" s="19" t="n">
        <v>50</v>
      </c>
      <c r="B51" s="20" t="s">
        <v>11</v>
      </c>
      <c r="C51" s="20" t="s">
        <v>258</v>
      </c>
      <c r="D51" s="21" t="s">
        <v>287</v>
      </c>
      <c r="E51" s="19" t="s">
        <v>15</v>
      </c>
      <c r="F51" s="19"/>
      <c r="G51" s="19"/>
      <c r="H51" s="20" t="s">
        <v>288</v>
      </c>
      <c r="I51" s="20" t="s">
        <v>289</v>
      </c>
      <c r="J51" s="20" t="s">
        <v>290</v>
      </c>
      <c r="K51" s="22"/>
      <c r="L51" s="23" t="n">
        <f aca="false">COUNTIF('Uji QA'!$D$2:$D$129,D51)</f>
        <v>3</v>
      </c>
      <c r="M51" s="23" t="n">
        <f aca="false">COUNTIFS('Uji QA'!$D$2:$D$129,D51,'Uji QA'!$M$2:$M$129,"Lulus")</f>
        <v>0</v>
      </c>
    </row>
    <row r="52" customFormat="false" ht="23.85" hidden="false" customHeight="false" outlineLevel="0" collapsed="false">
      <c r="A52" s="19" t="n">
        <v>51</v>
      </c>
      <c r="B52" s="20" t="s">
        <v>11</v>
      </c>
      <c r="C52" s="20" t="s">
        <v>258</v>
      </c>
      <c r="D52" s="21" t="s">
        <v>291</v>
      </c>
      <c r="E52" s="19" t="s">
        <v>15</v>
      </c>
      <c r="F52" s="19" t="s">
        <v>89</v>
      </c>
      <c r="G52" s="19"/>
      <c r="H52" s="20" t="s">
        <v>292</v>
      </c>
      <c r="I52" s="20" t="s">
        <v>293</v>
      </c>
      <c r="J52" s="20" t="s">
        <v>294</v>
      </c>
      <c r="K52" s="22"/>
      <c r="L52" s="23" t="n">
        <f aca="false">COUNTIF('Uji QA'!$D$2:$D$129,D52)</f>
        <v>1</v>
      </c>
      <c r="M52" s="23" t="n">
        <f aca="false">COUNTIFS('Uji QA'!$D$2:$D$129,D52,'Uji QA'!$M$2:$M$129,"Lulus")</f>
        <v>0</v>
      </c>
    </row>
    <row r="53" customFormat="false" ht="23.85" hidden="false" customHeight="false" outlineLevel="0" collapsed="false">
      <c r="A53" s="19" t="n">
        <v>52</v>
      </c>
      <c r="B53" s="20" t="s">
        <v>11</v>
      </c>
      <c r="C53" s="20" t="s">
        <v>258</v>
      </c>
      <c r="D53" s="21" t="s">
        <v>295</v>
      </c>
      <c r="E53" s="19" t="s">
        <v>15</v>
      </c>
      <c r="F53" s="19" t="s">
        <v>89</v>
      </c>
      <c r="G53" s="19"/>
      <c r="H53" s="20" t="s">
        <v>296</v>
      </c>
      <c r="I53" s="20" t="s">
        <v>297</v>
      </c>
      <c r="J53" s="20" t="s">
        <v>298</v>
      </c>
      <c r="K53" s="22"/>
      <c r="L53" s="23" t="n">
        <f aca="false">COUNTIF('Uji QA'!$D$2:$D$129,D53)</f>
        <v>1</v>
      </c>
      <c r="M53" s="23" t="n">
        <f aca="false">COUNTIFS('Uji QA'!$D$2:$D$129,D53,'Uji QA'!$M$2:$M$129,"Lulus")</f>
        <v>0</v>
      </c>
    </row>
    <row r="54" customFormat="false" ht="23.85" hidden="false" customHeight="false" outlineLevel="0" collapsed="false">
      <c r="A54" s="19" t="n">
        <v>53</v>
      </c>
      <c r="B54" s="20" t="s">
        <v>11</v>
      </c>
      <c r="C54" s="20" t="s">
        <v>299</v>
      </c>
      <c r="D54" s="21" t="s">
        <v>300</v>
      </c>
      <c r="E54" s="19" t="s">
        <v>15</v>
      </c>
      <c r="F54" s="19"/>
      <c r="G54" s="19" t="s">
        <v>89</v>
      </c>
      <c r="H54" s="20" t="s">
        <v>301</v>
      </c>
      <c r="I54" s="20" t="s">
        <v>302</v>
      </c>
      <c r="J54" s="20" t="s">
        <v>303</v>
      </c>
      <c r="K54" s="22"/>
      <c r="L54" s="23" t="n">
        <f aca="false">COUNTIF('Uji QA'!$D$2:$D$129,D54)</f>
        <v>1</v>
      </c>
      <c r="M54" s="23" t="n">
        <f aca="false">COUNTIFS('Uji QA'!$D$2:$D$129,D54,'Uji QA'!$M$2:$M$129,"Lulus")</f>
        <v>0</v>
      </c>
    </row>
    <row r="55" customFormat="false" ht="23.85" hidden="false" customHeight="false" outlineLevel="0" collapsed="false">
      <c r="A55" s="19" t="n">
        <v>54</v>
      </c>
      <c r="B55" s="20" t="s">
        <v>11</v>
      </c>
      <c r="C55" s="20" t="s">
        <v>299</v>
      </c>
      <c r="D55" s="21" t="s">
        <v>304</v>
      </c>
      <c r="E55" s="19" t="s">
        <v>15</v>
      </c>
      <c r="F55" s="19"/>
      <c r="G55" s="19"/>
      <c r="H55" s="20" t="s">
        <v>305</v>
      </c>
      <c r="I55" s="20" t="s">
        <v>306</v>
      </c>
      <c r="J55" s="20" t="s">
        <v>307</v>
      </c>
      <c r="K55" s="22"/>
      <c r="L55" s="23" t="n">
        <f aca="false">COUNTIF('Uji QA'!$D$2:$D$129,D55)</f>
        <v>1</v>
      </c>
      <c r="M55" s="23" t="n">
        <f aca="false">COUNTIFS('Uji QA'!$D$2:$D$129,D55,'Uji QA'!$M$2:$M$129,"Lulus")</f>
        <v>0</v>
      </c>
    </row>
    <row r="56" customFormat="false" ht="23.85" hidden="false" customHeight="false" outlineLevel="0" collapsed="false">
      <c r="A56" s="19" t="n">
        <v>55</v>
      </c>
      <c r="B56" s="20" t="s">
        <v>11</v>
      </c>
      <c r="C56" s="20" t="s">
        <v>299</v>
      </c>
      <c r="D56" s="21" t="s">
        <v>308</v>
      </c>
      <c r="E56" s="19" t="s">
        <v>15</v>
      </c>
      <c r="F56" s="19" t="s">
        <v>89</v>
      </c>
      <c r="G56" s="19"/>
      <c r="H56" s="20" t="s">
        <v>309</v>
      </c>
      <c r="I56" s="20" t="s">
        <v>310</v>
      </c>
      <c r="J56" s="20" t="s">
        <v>311</v>
      </c>
      <c r="K56" s="22"/>
      <c r="L56" s="23" t="n">
        <f aca="false">COUNTIF('Uji QA'!$D$2:$D$129,D56)</f>
        <v>1</v>
      </c>
      <c r="M56" s="23" t="n">
        <f aca="false">COUNTIFS('Uji QA'!$D$2:$D$129,D56,'Uji QA'!$M$2:$M$129,"Lulus")</f>
        <v>0</v>
      </c>
    </row>
    <row r="57" customFormat="false" ht="23.85" hidden="false" customHeight="false" outlineLevel="0" collapsed="false">
      <c r="A57" s="19" t="n">
        <v>56</v>
      </c>
      <c r="B57" s="20" t="s">
        <v>11</v>
      </c>
      <c r="C57" s="20" t="s">
        <v>299</v>
      </c>
      <c r="D57" s="21" t="s">
        <v>312</v>
      </c>
      <c r="E57" s="19" t="s">
        <v>15</v>
      </c>
      <c r="F57" s="19"/>
      <c r="G57" s="19"/>
      <c r="H57" s="20" t="s">
        <v>313</v>
      </c>
      <c r="I57" s="20" t="s">
        <v>314</v>
      </c>
      <c r="J57" s="20" t="s">
        <v>315</v>
      </c>
      <c r="K57" s="22"/>
      <c r="L57" s="23" t="n">
        <f aca="false">COUNTIF('Uji QA'!$D$2:$D$129,D57)</f>
        <v>1</v>
      </c>
      <c r="M57" s="23" t="n">
        <f aca="false">COUNTIFS('Uji QA'!$D$2:$D$129,D57,'Uji QA'!$M$2:$M$129,"Lulus")</f>
        <v>0</v>
      </c>
    </row>
    <row r="58" customFormat="false" ht="23.85" hidden="false" customHeight="false" outlineLevel="0" collapsed="false">
      <c r="A58" s="19" t="n">
        <v>57</v>
      </c>
      <c r="B58" s="20" t="s">
        <v>11</v>
      </c>
      <c r="C58" s="20" t="s">
        <v>299</v>
      </c>
      <c r="D58" s="21" t="s">
        <v>316</v>
      </c>
      <c r="E58" s="19" t="s">
        <v>15</v>
      </c>
      <c r="F58" s="19"/>
      <c r="G58" s="19"/>
      <c r="H58" s="20" t="s">
        <v>317</v>
      </c>
      <c r="I58" s="20" t="s">
        <v>318</v>
      </c>
      <c r="J58" s="20" t="s">
        <v>319</v>
      </c>
      <c r="K58" s="22"/>
      <c r="L58" s="23" t="n">
        <f aca="false">COUNTIF('Uji QA'!$D$2:$D$129,D58)</f>
        <v>1</v>
      </c>
      <c r="M58" s="23" t="n">
        <f aca="false">COUNTIFS('Uji QA'!$D$2:$D$129,D58,'Uji QA'!$M$2:$M$129,"Lulus")</f>
        <v>0</v>
      </c>
    </row>
    <row r="59" customFormat="false" ht="23.85" hidden="false" customHeight="false" outlineLevel="0" collapsed="false">
      <c r="A59" s="19" t="n">
        <v>58</v>
      </c>
      <c r="B59" s="20" t="s">
        <v>11</v>
      </c>
      <c r="C59" s="20" t="s">
        <v>299</v>
      </c>
      <c r="D59" s="21" t="s">
        <v>320</v>
      </c>
      <c r="E59" s="19" t="s">
        <v>15</v>
      </c>
      <c r="F59" s="19"/>
      <c r="G59" s="19"/>
      <c r="H59" s="20" t="s">
        <v>321</v>
      </c>
      <c r="I59" s="20" t="s">
        <v>322</v>
      </c>
      <c r="J59" s="20" t="s">
        <v>323</v>
      </c>
      <c r="K59" s="22"/>
      <c r="L59" s="23" t="n">
        <f aca="false">COUNTIF('Uji QA'!$D$2:$D$129,D59)</f>
        <v>1</v>
      </c>
      <c r="M59" s="23" t="n">
        <f aca="false">COUNTIFS('Uji QA'!$D$2:$D$129,D59,'Uji QA'!$M$2:$M$129,"Lulus")</f>
        <v>0</v>
      </c>
    </row>
    <row r="60" customFormat="false" ht="23.85" hidden="false" customHeight="false" outlineLevel="0" collapsed="false">
      <c r="A60" s="19" t="n">
        <v>59</v>
      </c>
      <c r="B60" s="20" t="s">
        <v>11</v>
      </c>
      <c r="C60" s="20" t="s">
        <v>299</v>
      </c>
      <c r="D60" s="21" t="s">
        <v>324</v>
      </c>
      <c r="E60" s="19" t="s">
        <v>15</v>
      </c>
      <c r="F60" s="19"/>
      <c r="G60" s="19"/>
      <c r="H60" s="20" t="s">
        <v>325</v>
      </c>
      <c r="I60" s="20" t="s">
        <v>326</v>
      </c>
      <c r="J60" s="20" t="s">
        <v>327</v>
      </c>
      <c r="K60" s="22"/>
      <c r="L60" s="23" t="n">
        <f aca="false">COUNTIF('Uji QA'!$D$2:$D$129,D60)</f>
        <v>1</v>
      </c>
      <c r="M60" s="23" t="n">
        <f aca="false">COUNTIFS('Uji QA'!$D$2:$D$129,D60,'Uji QA'!$M$2:$M$129,"Lulus")</f>
        <v>0</v>
      </c>
    </row>
    <row r="61" customFormat="false" ht="23.85" hidden="false" customHeight="false" outlineLevel="0" collapsed="false">
      <c r="A61" s="19" t="n">
        <v>60</v>
      </c>
      <c r="B61" s="20" t="s">
        <v>11</v>
      </c>
      <c r="C61" s="20" t="s">
        <v>299</v>
      </c>
      <c r="D61" s="21" t="s">
        <v>328</v>
      </c>
      <c r="E61" s="19" t="s">
        <v>15</v>
      </c>
      <c r="F61" s="19"/>
      <c r="G61" s="19"/>
      <c r="H61" s="20" t="s">
        <v>329</v>
      </c>
      <c r="I61" s="20" t="s">
        <v>330</v>
      </c>
      <c r="J61" s="20" t="s">
        <v>331</v>
      </c>
      <c r="K61" s="22"/>
      <c r="L61" s="23" t="n">
        <f aca="false">COUNTIF('Uji QA'!$D$2:$D$129,D61)</f>
        <v>1</v>
      </c>
      <c r="M61" s="23" t="n">
        <f aca="false">COUNTIFS('Uji QA'!$D$2:$D$129,D61,'Uji QA'!$M$2:$M$129,"Lulus")</f>
        <v>0</v>
      </c>
    </row>
    <row r="62" customFormat="false" ht="46.25" hidden="false" customHeight="false" outlineLevel="0" collapsed="false">
      <c r="A62" s="19" t="n">
        <v>61</v>
      </c>
      <c r="B62" s="20" t="s">
        <v>11</v>
      </c>
      <c r="C62" s="20" t="s">
        <v>299</v>
      </c>
      <c r="D62" s="21" t="s">
        <v>332</v>
      </c>
      <c r="E62" s="19" t="s">
        <v>15</v>
      </c>
      <c r="F62" s="19"/>
      <c r="G62" s="19"/>
      <c r="H62" s="20" t="s">
        <v>333</v>
      </c>
      <c r="I62" s="20" t="s">
        <v>334</v>
      </c>
      <c r="J62" s="20" t="s">
        <v>335</v>
      </c>
      <c r="K62" s="22"/>
      <c r="L62" s="23" t="n">
        <f aca="false">COUNTIF('Uji QA'!$D$2:$D$129,D62)</f>
        <v>3</v>
      </c>
      <c r="M62" s="23" t="n">
        <f aca="false">COUNTIFS('Uji QA'!$D$2:$D$129,D62,'Uji QA'!$M$2:$M$129,"Lulus")</f>
        <v>0</v>
      </c>
    </row>
    <row r="63" customFormat="false" ht="23.85" hidden="false" customHeight="false" outlineLevel="0" collapsed="false">
      <c r="A63" s="19" t="n">
        <v>62</v>
      </c>
      <c r="B63" s="20" t="s">
        <v>11</v>
      </c>
      <c r="C63" s="20" t="s">
        <v>299</v>
      </c>
      <c r="D63" s="21" t="s">
        <v>336</v>
      </c>
      <c r="E63" s="19" t="s">
        <v>15</v>
      </c>
      <c r="F63" s="19"/>
      <c r="G63" s="19" t="s">
        <v>89</v>
      </c>
      <c r="H63" s="20" t="s">
        <v>337</v>
      </c>
      <c r="I63" s="20" t="s">
        <v>338</v>
      </c>
      <c r="J63" s="20" t="s">
        <v>339</v>
      </c>
      <c r="K63" s="22"/>
      <c r="L63" s="23" t="n">
        <f aca="false">COUNTIF('Uji QA'!$D$2:$D$129,D63)</f>
        <v>1</v>
      </c>
      <c r="M63" s="23" t="n">
        <f aca="false">COUNTIFS('Uji QA'!$D$2:$D$129,D63,'Uji QA'!$M$2:$M$129,"Lulus")</f>
        <v>0</v>
      </c>
    </row>
    <row r="64" customFormat="false" ht="23.85" hidden="false" customHeight="false" outlineLevel="0" collapsed="false">
      <c r="A64" s="19" t="n">
        <v>63</v>
      </c>
      <c r="B64" s="20" t="s">
        <v>11</v>
      </c>
      <c r="C64" s="20" t="s">
        <v>299</v>
      </c>
      <c r="D64" s="21" t="s">
        <v>340</v>
      </c>
      <c r="E64" s="19" t="s">
        <v>15</v>
      </c>
      <c r="F64" s="19"/>
      <c r="G64" s="19"/>
      <c r="H64" s="20" t="s">
        <v>341</v>
      </c>
      <c r="I64" s="20" t="s">
        <v>342</v>
      </c>
      <c r="J64" s="20" t="s">
        <v>343</v>
      </c>
      <c r="K64" s="22"/>
      <c r="L64" s="23" t="n">
        <f aca="false">COUNTIF('Uji QA'!$D$2:$D$129,D64)</f>
        <v>1</v>
      </c>
      <c r="M64" s="23" t="n">
        <f aca="false">COUNTIFS('Uji QA'!$D$2:$D$129,D64,'Uji QA'!$M$2:$M$129,"Lulus")</f>
        <v>0</v>
      </c>
    </row>
    <row r="65" customFormat="false" ht="23.85" hidden="false" customHeight="false" outlineLevel="0" collapsed="false">
      <c r="A65" s="19" t="n">
        <v>64</v>
      </c>
      <c r="B65" s="20" t="s">
        <v>11</v>
      </c>
      <c r="C65" s="20" t="s">
        <v>344</v>
      </c>
      <c r="D65" s="21" t="s">
        <v>345</v>
      </c>
      <c r="E65" s="19" t="s">
        <v>15</v>
      </c>
      <c r="F65" s="19"/>
      <c r="G65" s="19"/>
      <c r="H65" s="20" t="s">
        <v>346</v>
      </c>
      <c r="I65" s="20" t="s">
        <v>347</v>
      </c>
      <c r="J65" s="20" t="s">
        <v>348</v>
      </c>
      <c r="K65" s="22"/>
      <c r="L65" s="23" t="n">
        <f aca="false">COUNTIF('Uji QA'!$D$2:$D$129,D65)</f>
        <v>1</v>
      </c>
      <c r="M65" s="23" t="n">
        <f aca="false">COUNTIFS('Uji QA'!$D$2:$D$129,D65,'Uji QA'!$M$2:$M$129,"Lulus")</f>
        <v>0</v>
      </c>
    </row>
    <row r="66" customFormat="false" ht="23.85" hidden="false" customHeight="false" outlineLevel="0" collapsed="false">
      <c r="A66" s="19" t="n">
        <v>65</v>
      </c>
      <c r="B66" s="20" t="s">
        <v>11</v>
      </c>
      <c r="C66" s="20" t="s">
        <v>344</v>
      </c>
      <c r="D66" s="21" t="s">
        <v>349</v>
      </c>
      <c r="E66" s="19" t="s">
        <v>15</v>
      </c>
      <c r="F66" s="19"/>
      <c r="G66" s="19"/>
      <c r="H66" s="20" t="s">
        <v>350</v>
      </c>
      <c r="I66" s="20" t="s">
        <v>351</v>
      </c>
      <c r="J66" s="20" t="s">
        <v>352</v>
      </c>
      <c r="K66" s="22"/>
      <c r="L66" s="23" t="n">
        <f aca="false">COUNTIF('Uji QA'!$D$2:$D$129,D66)</f>
        <v>1</v>
      </c>
      <c r="M66" s="23" t="n">
        <f aca="false">COUNTIFS('Uji QA'!$D$2:$D$129,D66,'Uji QA'!$M$2:$M$129,"Lulus")</f>
        <v>0</v>
      </c>
    </row>
    <row r="67" customFormat="false" ht="23.85" hidden="false" customHeight="false" outlineLevel="0" collapsed="false">
      <c r="A67" s="19" t="n">
        <v>66</v>
      </c>
      <c r="B67" s="20" t="s">
        <v>11</v>
      </c>
      <c r="C67" s="20" t="s">
        <v>344</v>
      </c>
      <c r="D67" s="21" t="s">
        <v>353</v>
      </c>
      <c r="E67" s="19" t="s">
        <v>15</v>
      </c>
      <c r="F67" s="19"/>
      <c r="G67" s="19"/>
      <c r="H67" s="20" t="s">
        <v>354</v>
      </c>
      <c r="I67" s="20" t="s">
        <v>355</v>
      </c>
      <c r="J67" s="20" t="s">
        <v>356</v>
      </c>
      <c r="K67" s="22"/>
      <c r="L67" s="23" t="n">
        <f aca="false">COUNTIF('Uji QA'!$D$2:$D$129,D67)</f>
        <v>1</v>
      </c>
      <c r="M67" s="23" t="n">
        <f aca="false">COUNTIFS('Uji QA'!$D$2:$D$129,D67,'Uji QA'!$M$2:$M$129,"Lulus")</f>
        <v>0</v>
      </c>
    </row>
    <row r="68" customFormat="false" ht="23.85" hidden="false" customHeight="false" outlineLevel="0" collapsed="false">
      <c r="A68" s="19" t="n">
        <v>67</v>
      </c>
      <c r="B68" s="20" t="s">
        <v>11</v>
      </c>
      <c r="C68" s="20" t="s">
        <v>344</v>
      </c>
      <c r="D68" s="21" t="s">
        <v>357</v>
      </c>
      <c r="E68" s="19" t="s">
        <v>15</v>
      </c>
      <c r="F68" s="19"/>
      <c r="G68" s="19" t="s">
        <v>89</v>
      </c>
      <c r="H68" s="20" t="s">
        <v>358</v>
      </c>
      <c r="I68" s="20" t="s">
        <v>359</v>
      </c>
      <c r="J68" s="20" t="s">
        <v>360</v>
      </c>
      <c r="K68" s="22"/>
      <c r="L68" s="23" t="n">
        <f aca="false">COUNTIF('Uji QA'!$D$2:$D$129,D68)</f>
        <v>1</v>
      </c>
      <c r="M68" s="23" t="n">
        <f aca="false">COUNTIFS('Uji QA'!$D$2:$D$129,D68,'Uji QA'!$M$2:$M$129,"Lulus")</f>
        <v>0</v>
      </c>
    </row>
    <row r="69" customFormat="false" ht="23.85" hidden="false" customHeight="false" outlineLevel="0" collapsed="false">
      <c r="A69" s="19" t="n">
        <v>68</v>
      </c>
      <c r="B69" s="20" t="s">
        <v>11</v>
      </c>
      <c r="C69" s="20" t="s">
        <v>361</v>
      </c>
      <c r="D69" s="21" t="s">
        <v>362</v>
      </c>
      <c r="E69" s="19" t="s">
        <v>15</v>
      </c>
      <c r="F69" s="19"/>
      <c r="G69" s="19"/>
      <c r="H69" s="20" t="s">
        <v>363</v>
      </c>
      <c r="I69" s="20" t="s">
        <v>364</v>
      </c>
      <c r="J69" s="20" t="s">
        <v>365</v>
      </c>
      <c r="K69" s="22"/>
      <c r="L69" s="23" t="n">
        <f aca="false">COUNTIF('Uji QA'!$D$2:$D$129,D69)</f>
        <v>1</v>
      </c>
      <c r="M69" s="23" t="n">
        <f aca="false">COUNTIFS('Uji QA'!$D$2:$D$129,D69,'Uji QA'!$M$2:$M$129,"Lulus")</f>
        <v>0</v>
      </c>
    </row>
    <row r="70" customFormat="false" ht="35.05" hidden="false" customHeight="false" outlineLevel="0" collapsed="false">
      <c r="A70" s="19" t="n">
        <v>69</v>
      </c>
      <c r="B70" s="20" t="s">
        <v>11</v>
      </c>
      <c r="C70" s="20" t="s">
        <v>361</v>
      </c>
      <c r="D70" s="21" t="s">
        <v>366</v>
      </c>
      <c r="E70" s="19" t="s">
        <v>15</v>
      </c>
      <c r="F70" s="19" t="s">
        <v>89</v>
      </c>
      <c r="G70" s="19" t="s">
        <v>89</v>
      </c>
      <c r="H70" s="20" t="s">
        <v>367</v>
      </c>
      <c r="I70" s="20" t="s">
        <v>368</v>
      </c>
      <c r="J70" s="20" t="s">
        <v>369</v>
      </c>
      <c r="K70" s="22"/>
      <c r="L70" s="23" t="n">
        <f aca="false">COUNTIF('Uji QA'!$D$2:$D$129,D70)</f>
        <v>1</v>
      </c>
      <c r="M70" s="23" t="n">
        <f aca="false">COUNTIFS('Uji QA'!$D$2:$D$129,D70,'Uji QA'!$M$2:$M$129,"Lulus")</f>
        <v>0</v>
      </c>
    </row>
    <row r="71" customFormat="false" ht="23.85" hidden="false" customHeight="false" outlineLevel="0" collapsed="false">
      <c r="A71" s="19" t="n">
        <v>70</v>
      </c>
      <c r="B71" s="20" t="s">
        <v>11</v>
      </c>
      <c r="C71" s="20" t="s">
        <v>361</v>
      </c>
      <c r="D71" s="21" t="s">
        <v>370</v>
      </c>
      <c r="E71" s="19" t="s">
        <v>15</v>
      </c>
      <c r="F71" s="19"/>
      <c r="G71" s="19"/>
      <c r="H71" s="20" t="s">
        <v>371</v>
      </c>
      <c r="I71" s="20" t="s">
        <v>372</v>
      </c>
      <c r="J71" s="20" t="s">
        <v>373</v>
      </c>
      <c r="K71" s="22"/>
      <c r="L71" s="23" t="n">
        <f aca="false">COUNTIF('Uji QA'!$D$2:$D$129,D71)</f>
        <v>1</v>
      </c>
      <c r="M71" s="23" t="n">
        <f aca="false">COUNTIFS('Uji QA'!$D$2:$D$129,D71,'Uji QA'!$M$2:$M$129,"Lulus")</f>
        <v>0</v>
      </c>
    </row>
    <row r="72" customFormat="false" ht="23.85" hidden="false" customHeight="false" outlineLevel="0" collapsed="false">
      <c r="A72" s="19" t="n">
        <v>71</v>
      </c>
      <c r="B72" s="20" t="s">
        <v>11</v>
      </c>
      <c r="C72" s="20" t="s">
        <v>361</v>
      </c>
      <c r="D72" s="21" t="s">
        <v>374</v>
      </c>
      <c r="E72" s="19" t="s">
        <v>15</v>
      </c>
      <c r="F72" s="19" t="s">
        <v>89</v>
      </c>
      <c r="G72" s="19"/>
      <c r="H72" s="20" t="s">
        <v>375</v>
      </c>
      <c r="I72" s="20" t="s">
        <v>376</v>
      </c>
      <c r="J72" s="20" t="s">
        <v>377</v>
      </c>
      <c r="K72" s="22"/>
      <c r="L72" s="23" t="n">
        <f aca="false">COUNTIF('Uji QA'!$D$2:$D$129,D72)</f>
        <v>1</v>
      </c>
      <c r="M72" s="23" t="n">
        <f aca="false">COUNTIFS('Uji QA'!$D$2:$D$129,D72,'Uji QA'!$M$2:$M$129,"Lulus")</f>
        <v>0</v>
      </c>
    </row>
    <row r="73" customFormat="false" ht="23.85" hidden="false" customHeight="false" outlineLevel="0" collapsed="false">
      <c r="A73" s="19" t="n">
        <v>72</v>
      </c>
      <c r="B73" s="20" t="s">
        <v>11</v>
      </c>
      <c r="C73" s="20" t="s">
        <v>361</v>
      </c>
      <c r="D73" s="21" t="s">
        <v>378</v>
      </c>
      <c r="E73" s="19" t="s">
        <v>15</v>
      </c>
      <c r="F73" s="19"/>
      <c r="G73" s="19"/>
      <c r="H73" s="20" t="s">
        <v>379</v>
      </c>
      <c r="I73" s="20" t="s">
        <v>380</v>
      </c>
      <c r="J73" s="20" t="s">
        <v>381</v>
      </c>
      <c r="K73" s="22"/>
      <c r="L73" s="23" t="n">
        <f aca="false">COUNTIF('Uji QA'!$D$2:$D$129,D73)</f>
        <v>1</v>
      </c>
      <c r="M73" s="23" t="n">
        <f aca="false">COUNTIFS('Uji QA'!$D$2:$D$129,D73,'Uji QA'!$M$2:$M$129,"Lulus")</f>
        <v>0</v>
      </c>
    </row>
    <row r="74" customFormat="false" ht="23.85" hidden="false" customHeight="false" outlineLevel="0" collapsed="false">
      <c r="A74" s="19" t="n">
        <v>73</v>
      </c>
      <c r="B74" s="20" t="s">
        <v>11</v>
      </c>
      <c r="C74" s="20" t="s">
        <v>361</v>
      </c>
      <c r="D74" s="21" t="s">
        <v>382</v>
      </c>
      <c r="E74" s="19" t="s">
        <v>15</v>
      </c>
      <c r="F74" s="19" t="s">
        <v>89</v>
      </c>
      <c r="G74" s="19"/>
      <c r="H74" s="20" t="s">
        <v>383</v>
      </c>
      <c r="I74" s="20" t="s">
        <v>384</v>
      </c>
      <c r="J74" s="20" t="s">
        <v>385</v>
      </c>
      <c r="K74" s="22"/>
      <c r="L74" s="23" t="n">
        <f aca="false">COUNTIF('Uji QA'!$D$2:$D$129,D74)</f>
        <v>1</v>
      </c>
      <c r="M74" s="23" t="n">
        <f aca="false">COUNTIFS('Uji QA'!$D$2:$D$129,D74,'Uji QA'!$M$2:$M$129,"Lulus")</f>
        <v>0</v>
      </c>
    </row>
    <row r="75" customFormat="false" ht="35.05" hidden="false" customHeight="false" outlineLevel="0" collapsed="false">
      <c r="A75" s="19" t="n">
        <v>74</v>
      </c>
      <c r="B75" s="20" t="s">
        <v>11</v>
      </c>
      <c r="C75" s="20" t="s">
        <v>361</v>
      </c>
      <c r="D75" s="21" t="s">
        <v>386</v>
      </c>
      <c r="E75" s="19" t="s">
        <v>15</v>
      </c>
      <c r="F75" s="19" t="s">
        <v>89</v>
      </c>
      <c r="G75" s="19"/>
      <c r="H75" s="20" t="s">
        <v>387</v>
      </c>
      <c r="I75" s="20" t="s">
        <v>388</v>
      </c>
      <c r="J75" s="20" t="s">
        <v>389</v>
      </c>
      <c r="K75" s="22"/>
      <c r="L75" s="23" t="n">
        <f aca="false">COUNTIF('Uji QA'!$D$2:$D$129,D75)</f>
        <v>1</v>
      </c>
      <c r="M75" s="23" t="n">
        <f aca="false">COUNTIFS('Uji QA'!$D$2:$D$129,D75,'Uji QA'!$M$2:$M$129,"Lulus")</f>
        <v>0</v>
      </c>
    </row>
    <row r="76" customFormat="false" ht="23.85" hidden="false" customHeight="false" outlineLevel="0" collapsed="false">
      <c r="A76" s="19" t="n">
        <v>75</v>
      </c>
      <c r="B76" s="20" t="s">
        <v>11</v>
      </c>
      <c r="C76" s="20" t="s">
        <v>361</v>
      </c>
      <c r="D76" s="21" t="s">
        <v>390</v>
      </c>
      <c r="E76" s="19" t="s">
        <v>15</v>
      </c>
      <c r="F76" s="19"/>
      <c r="G76" s="19"/>
      <c r="H76" s="20" t="s">
        <v>391</v>
      </c>
      <c r="I76" s="20" t="s">
        <v>392</v>
      </c>
      <c r="J76" s="20" t="s">
        <v>393</v>
      </c>
      <c r="K76" s="22"/>
      <c r="L76" s="23" t="n">
        <f aca="false">COUNTIF('Uji QA'!$D$2:$D$129,D76)</f>
        <v>1</v>
      </c>
      <c r="M76" s="23" t="n">
        <f aca="false">COUNTIFS('Uji QA'!$D$2:$D$129,D76,'Uji QA'!$M$2:$M$129,"Lulus")</f>
        <v>0</v>
      </c>
    </row>
    <row r="77" customFormat="false" ht="23.85" hidden="false" customHeight="false" outlineLevel="0" collapsed="false">
      <c r="A77" s="19" t="n">
        <v>76</v>
      </c>
      <c r="B77" s="20" t="s">
        <v>12</v>
      </c>
      <c r="C77" s="20" t="s">
        <v>394</v>
      </c>
      <c r="D77" s="21" t="s">
        <v>395</v>
      </c>
      <c r="E77" s="19" t="s">
        <v>15</v>
      </c>
      <c r="F77" s="19"/>
      <c r="G77" s="19"/>
      <c r="H77" s="20" t="s">
        <v>396</v>
      </c>
      <c r="I77" s="20" t="s">
        <v>397</v>
      </c>
      <c r="J77" s="20" t="s">
        <v>398</v>
      </c>
      <c r="K77" s="22"/>
      <c r="L77" s="23" t="n">
        <f aca="false">COUNTIF('Uji QA'!$D$2:$D$129,D77)</f>
        <v>1</v>
      </c>
      <c r="M77" s="23" t="n">
        <f aca="false">COUNTIFS('Uji QA'!$D$2:$D$129,D77,'Uji QA'!$M$2:$M$129,"Lulus")</f>
        <v>0</v>
      </c>
    </row>
    <row r="78" customFormat="false" ht="23.85" hidden="false" customHeight="false" outlineLevel="0" collapsed="false">
      <c r="A78" s="19" t="n">
        <v>77</v>
      </c>
      <c r="B78" s="20" t="s">
        <v>12</v>
      </c>
      <c r="C78" s="20" t="s">
        <v>394</v>
      </c>
      <c r="D78" s="21" t="s">
        <v>399</v>
      </c>
      <c r="E78" s="19" t="s">
        <v>15</v>
      </c>
      <c r="F78" s="19"/>
      <c r="G78" s="19"/>
      <c r="H78" s="20" t="s">
        <v>400</v>
      </c>
      <c r="I78" s="20" t="s">
        <v>401</v>
      </c>
      <c r="J78" s="20" t="s">
        <v>402</v>
      </c>
      <c r="K78" s="22"/>
      <c r="L78" s="23" t="n">
        <f aca="false">COUNTIF('Uji QA'!$D$2:$D$129,D78)</f>
        <v>1</v>
      </c>
      <c r="M78" s="23" t="n">
        <f aca="false">COUNTIFS('Uji QA'!$D$2:$D$129,D78,'Uji QA'!$M$2:$M$129,"Lulus")</f>
        <v>0</v>
      </c>
    </row>
    <row r="79" customFormat="false" ht="23.85" hidden="false" customHeight="false" outlineLevel="0" collapsed="false">
      <c r="A79" s="19" t="n">
        <v>78</v>
      </c>
      <c r="B79" s="20" t="s">
        <v>12</v>
      </c>
      <c r="C79" s="20" t="s">
        <v>394</v>
      </c>
      <c r="D79" s="21" t="s">
        <v>403</v>
      </c>
      <c r="E79" s="19" t="s">
        <v>15</v>
      </c>
      <c r="F79" s="19" t="s">
        <v>89</v>
      </c>
      <c r="G79" s="19"/>
      <c r="H79" s="20" t="s">
        <v>404</v>
      </c>
      <c r="I79" s="20" t="s">
        <v>405</v>
      </c>
      <c r="J79" s="20" t="s">
        <v>406</v>
      </c>
      <c r="K79" s="22"/>
      <c r="L79" s="23" t="n">
        <f aca="false">COUNTIF('Uji QA'!$D$2:$D$129,D79)</f>
        <v>1</v>
      </c>
      <c r="M79" s="23" t="n">
        <f aca="false">COUNTIFS('Uji QA'!$D$2:$D$129,D79,'Uji QA'!$M$2:$M$129,"Lulus")</f>
        <v>0</v>
      </c>
    </row>
    <row r="80" customFormat="false" ht="23.85" hidden="false" customHeight="false" outlineLevel="0" collapsed="false">
      <c r="A80" s="19" t="n">
        <v>79</v>
      </c>
      <c r="B80" s="20" t="s">
        <v>12</v>
      </c>
      <c r="C80" s="20" t="s">
        <v>407</v>
      </c>
      <c r="D80" s="21" t="s">
        <v>408</v>
      </c>
      <c r="E80" s="19" t="s">
        <v>15</v>
      </c>
      <c r="F80" s="19"/>
      <c r="G80" s="19"/>
      <c r="H80" s="20" t="s">
        <v>409</v>
      </c>
      <c r="I80" s="20" t="s">
        <v>410</v>
      </c>
      <c r="J80" s="20" t="s">
        <v>411</v>
      </c>
      <c r="K80" s="22"/>
      <c r="L80" s="23" t="n">
        <f aca="false">COUNTIF('Uji QA'!$D$2:$D$129,D80)</f>
        <v>1</v>
      </c>
      <c r="M80" s="23" t="n">
        <f aca="false">COUNTIFS('Uji QA'!$D$2:$D$129,D80,'Uji QA'!$M$2:$M$129,"Lulus")</f>
        <v>0</v>
      </c>
    </row>
    <row r="81" customFormat="false" ht="23.85" hidden="false" customHeight="false" outlineLevel="0" collapsed="false">
      <c r="A81" s="19" t="n">
        <v>80</v>
      </c>
      <c r="B81" s="20" t="s">
        <v>12</v>
      </c>
      <c r="C81" s="20" t="s">
        <v>407</v>
      </c>
      <c r="D81" s="21" t="s">
        <v>412</v>
      </c>
      <c r="E81" s="19" t="s">
        <v>15</v>
      </c>
      <c r="F81" s="19"/>
      <c r="G81" s="19"/>
      <c r="H81" s="20" t="s">
        <v>413</v>
      </c>
      <c r="I81" s="20" t="s">
        <v>414</v>
      </c>
      <c r="J81" s="20" t="s">
        <v>415</v>
      </c>
      <c r="K81" s="22"/>
      <c r="L81" s="23" t="n">
        <f aca="false">COUNTIF('Uji QA'!$D$2:$D$129,D81)</f>
        <v>1</v>
      </c>
      <c r="M81" s="23" t="n">
        <f aca="false">COUNTIFS('Uji QA'!$D$2:$D$129,D81,'Uji QA'!$M$2:$M$129,"Lulus")</f>
        <v>0</v>
      </c>
    </row>
    <row r="82" customFormat="false" ht="23.85" hidden="false" customHeight="false" outlineLevel="0" collapsed="false">
      <c r="A82" s="19" t="n">
        <v>81</v>
      </c>
      <c r="B82" s="20" t="s">
        <v>12</v>
      </c>
      <c r="C82" s="20" t="s">
        <v>407</v>
      </c>
      <c r="D82" s="21" t="s">
        <v>416</v>
      </c>
      <c r="E82" s="19" t="s">
        <v>15</v>
      </c>
      <c r="F82" s="19"/>
      <c r="G82" s="19"/>
      <c r="H82" s="20" t="s">
        <v>417</v>
      </c>
      <c r="I82" s="20" t="s">
        <v>418</v>
      </c>
      <c r="J82" s="20" t="s">
        <v>419</v>
      </c>
      <c r="K82" s="22"/>
      <c r="L82" s="23" t="n">
        <f aca="false">COUNTIF('Uji QA'!$D$2:$D$129,D82)</f>
        <v>1</v>
      </c>
      <c r="M82" s="23" t="n">
        <f aca="false">COUNTIFS('Uji QA'!$D$2:$D$129,D82,'Uji QA'!$M$2:$M$129,"Lulus")</f>
        <v>0</v>
      </c>
    </row>
    <row r="83" customFormat="false" ht="23.85" hidden="false" customHeight="false" outlineLevel="0" collapsed="false">
      <c r="A83" s="19" t="n">
        <v>82</v>
      </c>
      <c r="B83" s="20" t="s">
        <v>12</v>
      </c>
      <c r="C83" s="20" t="s">
        <v>407</v>
      </c>
      <c r="D83" s="21" t="s">
        <v>420</v>
      </c>
      <c r="E83" s="19" t="s">
        <v>15</v>
      </c>
      <c r="F83" s="19" t="s">
        <v>89</v>
      </c>
      <c r="G83" s="19"/>
      <c r="H83" s="20" t="s">
        <v>421</v>
      </c>
      <c r="I83" s="20" t="s">
        <v>422</v>
      </c>
      <c r="J83" s="20" t="s">
        <v>423</v>
      </c>
      <c r="K83" s="22"/>
      <c r="L83" s="23" t="n">
        <f aca="false">COUNTIF('Uji QA'!$D$2:$D$129,D83)</f>
        <v>2</v>
      </c>
      <c r="M83" s="23" t="n">
        <f aca="false">COUNTIFS('Uji QA'!$D$2:$D$129,D83,'Uji QA'!$M$2:$M$129,"Lulus")</f>
        <v>0</v>
      </c>
    </row>
    <row r="84" customFormat="false" ht="23.85" hidden="false" customHeight="false" outlineLevel="0" collapsed="false">
      <c r="A84" s="19" t="n">
        <v>83</v>
      </c>
      <c r="B84" s="20" t="s">
        <v>12</v>
      </c>
      <c r="C84" s="20" t="s">
        <v>424</v>
      </c>
      <c r="D84" s="21" t="s">
        <v>425</v>
      </c>
      <c r="E84" s="19" t="s">
        <v>15</v>
      </c>
      <c r="F84" s="19"/>
      <c r="G84" s="19"/>
      <c r="H84" s="20" t="s">
        <v>426</v>
      </c>
      <c r="I84" s="20" t="s">
        <v>427</v>
      </c>
      <c r="J84" s="20" t="s">
        <v>428</v>
      </c>
      <c r="K84" s="22"/>
      <c r="L84" s="23" t="n">
        <f aca="false">COUNTIF('Uji QA'!$D$2:$D$129,D84)</f>
        <v>1</v>
      </c>
      <c r="M84" s="23" t="n">
        <f aca="false">COUNTIFS('Uji QA'!$D$2:$D$129,D84,'Uji QA'!$M$2:$M$129,"Lulus")</f>
        <v>0</v>
      </c>
    </row>
    <row r="85" customFormat="false" ht="23.85" hidden="false" customHeight="false" outlineLevel="0" collapsed="false">
      <c r="A85" s="19" t="n">
        <v>84</v>
      </c>
      <c r="B85" s="20" t="s">
        <v>12</v>
      </c>
      <c r="C85" s="20" t="s">
        <v>424</v>
      </c>
      <c r="D85" s="21" t="s">
        <v>429</v>
      </c>
      <c r="E85" s="19" t="s">
        <v>15</v>
      </c>
      <c r="F85" s="19"/>
      <c r="G85" s="19"/>
      <c r="H85" s="20" t="s">
        <v>430</v>
      </c>
      <c r="I85" s="20" t="s">
        <v>431</v>
      </c>
      <c r="J85" s="20" t="s">
        <v>432</v>
      </c>
      <c r="K85" s="22"/>
      <c r="L85" s="23" t="n">
        <f aca="false">COUNTIF('Uji QA'!$D$2:$D$129,D85)</f>
        <v>1</v>
      </c>
      <c r="M85" s="23" t="n">
        <f aca="false">COUNTIFS('Uji QA'!$D$2:$D$129,D85,'Uji QA'!$M$2:$M$129,"Lulus")</f>
        <v>0</v>
      </c>
    </row>
    <row r="86" customFormat="false" ht="23.85" hidden="false" customHeight="false" outlineLevel="0" collapsed="false">
      <c r="A86" s="19" t="n">
        <v>85</v>
      </c>
      <c r="B86" s="20" t="s">
        <v>12</v>
      </c>
      <c r="C86" s="20" t="s">
        <v>424</v>
      </c>
      <c r="D86" s="21" t="s">
        <v>433</v>
      </c>
      <c r="E86" s="19" t="s">
        <v>15</v>
      </c>
      <c r="F86" s="19"/>
      <c r="G86" s="19"/>
      <c r="H86" s="20" t="s">
        <v>434</v>
      </c>
      <c r="I86" s="20" t="s">
        <v>435</v>
      </c>
      <c r="J86" s="20" t="s">
        <v>436</v>
      </c>
      <c r="K86" s="22"/>
      <c r="L86" s="23" t="n">
        <f aca="false">COUNTIF('Uji QA'!$D$2:$D$129,D86)</f>
        <v>1</v>
      </c>
      <c r="M86" s="23" t="n">
        <f aca="false">COUNTIFS('Uji QA'!$D$2:$D$129,D86,'Uji QA'!$M$2:$M$129,"Lulus")</f>
        <v>0</v>
      </c>
    </row>
    <row r="87" customFormat="false" ht="23.85" hidden="false" customHeight="false" outlineLevel="0" collapsed="false">
      <c r="A87" s="19" t="n">
        <v>86</v>
      </c>
      <c r="B87" s="20" t="s">
        <v>12</v>
      </c>
      <c r="C87" s="20" t="s">
        <v>424</v>
      </c>
      <c r="D87" s="21" t="s">
        <v>437</v>
      </c>
      <c r="E87" s="19" t="s">
        <v>15</v>
      </c>
      <c r="F87" s="19"/>
      <c r="G87" s="19"/>
      <c r="H87" s="20" t="s">
        <v>438</v>
      </c>
      <c r="I87" s="20" t="s">
        <v>439</v>
      </c>
      <c r="J87" s="20" t="s">
        <v>440</v>
      </c>
      <c r="K87" s="22"/>
      <c r="L87" s="23" t="n">
        <f aca="false">COUNTIF('Uji QA'!$D$2:$D$129,D87)</f>
        <v>1</v>
      </c>
      <c r="M87" s="23" t="n">
        <f aca="false">COUNTIFS('Uji QA'!$D$2:$D$129,D87,'Uji QA'!$M$2:$M$129,"Lulus")</f>
        <v>0</v>
      </c>
    </row>
    <row r="88" customFormat="false" ht="23.85" hidden="false" customHeight="false" outlineLevel="0" collapsed="false">
      <c r="A88" s="19" t="n">
        <v>87</v>
      </c>
      <c r="B88" s="20" t="s">
        <v>12</v>
      </c>
      <c r="C88" s="20" t="s">
        <v>424</v>
      </c>
      <c r="D88" s="21" t="s">
        <v>441</v>
      </c>
      <c r="E88" s="19" t="s">
        <v>15</v>
      </c>
      <c r="F88" s="19"/>
      <c r="G88" s="19"/>
      <c r="H88" s="20" t="s">
        <v>442</v>
      </c>
      <c r="I88" s="20" t="s">
        <v>443</v>
      </c>
      <c r="J88" s="20" t="s">
        <v>444</v>
      </c>
      <c r="K88" s="22"/>
      <c r="L88" s="23" t="n">
        <f aca="false">COUNTIF('Uji QA'!$D$2:$D$129,D88)</f>
        <v>1</v>
      </c>
      <c r="M88" s="23" t="n">
        <f aca="false">COUNTIFS('Uji QA'!$D$2:$D$129,D88,'Uji QA'!$M$2:$M$129,"Lulus")</f>
        <v>0</v>
      </c>
    </row>
    <row r="89" customFormat="false" ht="23.85" hidden="false" customHeight="false" outlineLevel="0" collapsed="false">
      <c r="A89" s="19" t="n">
        <v>88</v>
      </c>
      <c r="B89" s="20" t="s">
        <v>12</v>
      </c>
      <c r="C89" s="20" t="s">
        <v>445</v>
      </c>
      <c r="D89" s="21" t="s">
        <v>446</v>
      </c>
      <c r="E89" s="19" t="s">
        <v>15</v>
      </c>
      <c r="F89" s="19"/>
      <c r="G89" s="19"/>
      <c r="H89" s="20" t="s">
        <v>447</v>
      </c>
      <c r="I89" s="20" t="s">
        <v>448</v>
      </c>
      <c r="J89" s="20" t="s">
        <v>449</v>
      </c>
      <c r="K89" s="22"/>
      <c r="L89" s="23" t="n">
        <f aca="false">COUNTIF('Uji QA'!$D$2:$D$129,D89)</f>
        <v>1</v>
      </c>
      <c r="M89" s="23" t="n">
        <f aca="false">COUNTIFS('Uji QA'!$D$2:$D$129,D89,'Uji QA'!$M$2:$M$129,"Lulus")</f>
        <v>0</v>
      </c>
    </row>
    <row r="90" customFormat="false" ht="23.85" hidden="false" customHeight="false" outlineLevel="0" collapsed="false">
      <c r="A90" s="19" t="n">
        <v>89</v>
      </c>
      <c r="B90" s="20" t="s">
        <v>12</v>
      </c>
      <c r="C90" s="20" t="s">
        <v>445</v>
      </c>
      <c r="D90" s="21" t="s">
        <v>450</v>
      </c>
      <c r="E90" s="19" t="s">
        <v>15</v>
      </c>
      <c r="F90" s="19"/>
      <c r="G90" s="19"/>
      <c r="H90" s="20" t="s">
        <v>451</v>
      </c>
      <c r="I90" s="20" t="s">
        <v>452</v>
      </c>
      <c r="J90" s="20" t="s">
        <v>453</v>
      </c>
      <c r="K90" s="22"/>
      <c r="L90" s="23" t="n">
        <f aca="false">COUNTIF('Uji QA'!$D$2:$D$129,D90)</f>
        <v>1</v>
      </c>
      <c r="M90" s="23" t="n">
        <f aca="false">COUNTIFS('Uji QA'!$D$2:$D$129,D90,'Uji QA'!$M$2:$M$129,"Lulus")</f>
        <v>0</v>
      </c>
    </row>
    <row r="91" customFormat="false" ht="23.85" hidden="false" customHeight="false" outlineLevel="0" collapsed="false">
      <c r="A91" s="19" t="n">
        <v>90</v>
      </c>
      <c r="B91" s="20" t="s">
        <v>12</v>
      </c>
      <c r="C91" s="20" t="s">
        <v>445</v>
      </c>
      <c r="D91" s="21" t="s">
        <v>454</v>
      </c>
      <c r="E91" s="19" t="s">
        <v>15</v>
      </c>
      <c r="F91" s="19"/>
      <c r="G91" s="19"/>
      <c r="H91" s="20" t="s">
        <v>455</v>
      </c>
      <c r="I91" s="20" t="s">
        <v>456</v>
      </c>
      <c r="J91" s="20" t="s">
        <v>457</v>
      </c>
      <c r="K91" s="22"/>
      <c r="L91" s="23" t="n">
        <f aca="false">COUNTIF('Uji QA'!$D$2:$D$129,D91)</f>
        <v>1</v>
      </c>
      <c r="M91" s="23" t="n">
        <f aca="false">COUNTIFS('Uji QA'!$D$2:$D$129,D91,'Uji QA'!$M$2:$M$129,"Lulus")</f>
        <v>0</v>
      </c>
    </row>
    <row r="92" customFormat="false" ht="23.85" hidden="false" customHeight="false" outlineLevel="0" collapsed="false">
      <c r="A92" s="19" t="n">
        <v>91</v>
      </c>
      <c r="B92" s="20" t="s">
        <v>12</v>
      </c>
      <c r="C92" s="20" t="s">
        <v>445</v>
      </c>
      <c r="D92" s="21" t="s">
        <v>458</v>
      </c>
      <c r="E92" s="19" t="s">
        <v>15</v>
      </c>
      <c r="F92" s="19"/>
      <c r="G92" s="19"/>
      <c r="H92" s="20" t="s">
        <v>459</v>
      </c>
      <c r="I92" s="20" t="s">
        <v>460</v>
      </c>
      <c r="J92" s="20" t="s">
        <v>461</v>
      </c>
      <c r="K92" s="22"/>
      <c r="L92" s="23" t="n">
        <f aca="false">COUNTIF('Uji QA'!$D$2:$D$129,D92)</f>
        <v>1</v>
      </c>
      <c r="M92" s="23" t="n">
        <f aca="false">COUNTIFS('Uji QA'!$D$2:$D$129,D92,'Uji QA'!$M$2:$M$129,"Lulus")</f>
        <v>0</v>
      </c>
    </row>
    <row r="93" customFormat="false" ht="23.85" hidden="false" customHeight="false" outlineLevel="0" collapsed="false">
      <c r="A93" s="19" t="n">
        <v>92</v>
      </c>
      <c r="B93" s="20" t="s">
        <v>12</v>
      </c>
      <c r="C93" s="20" t="s">
        <v>445</v>
      </c>
      <c r="D93" s="21" t="s">
        <v>462</v>
      </c>
      <c r="E93" s="19" t="s">
        <v>15</v>
      </c>
      <c r="F93" s="19"/>
      <c r="G93" s="19"/>
      <c r="H93" s="20" t="s">
        <v>463</v>
      </c>
      <c r="I93" s="20" t="s">
        <v>464</v>
      </c>
      <c r="J93" s="20" t="s">
        <v>465</v>
      </c>
      <c r="K93" s="22"/>
      <c r="L93" s="23" t="n">
        <f aca="false">COUNTIF('Uji QA'!$D$2:$D$129,D93)</f>
        <v>1</v>
      </c>
      <c r="M93" s="23" t="n">
        <f aca="false">COUNTIFS('Uji QA'!$D$2:$D$129,D93,'Uji QA'!$M$2:$M$129,"Lulus")</f>
        <v>0</v>
      </c>
    </row>
    <row r="94" customFormat="false" ht="23.85" hidden="false" customHeight="false" outlineLevel="0" collapsed="false">
      <c r="A94" s="19" t="n">
        <v>93</v>
      </c>
      <c r="B94" s="20" t="s">
        <v>12</v>
      </c>
      <c r="C94" s="20" t="s">
        <v>445</v>
      </c>
      <c r="D94" s="21" t="s">
        <v>466</v>
      </c>
      <c r="E94" s="19" t="s">
        <v>15</v>
      </c>
      <c r="F94" s="19"/>
      <c r="G94" s="19"/>
      <c r="H94" s="20" t="s">
        <v>467</v>
      </c>
      <c r="I94" s="20" t="s">
        <v>468</v>
      </c>
      <c r="J94" s="20" t="s">
        <v>469</v>
      </c>
      <c r="K94" s="22"/>
      <c r="L94" s="23" t="n">
        <f aca="false">COUNTIF('Uji QA'!$D$2:$D$129,D94)</f>
        <v>1</v>
      </c>
      <c r="M94" s="23" t="n">
        <f aca="false">COUNTIFS('Uji QA'!$D$2:$D$129,D94,'Uji QA'!$M$2:$M$129,"Lulus")</f>
        <v>0</v>
      </c>
    </row>
    <row r="95" customFormat="false" ht="23.85" hidden="false" customHeight="false" outlineLevel="0" collapsed="false">
      <c r="A95" s="19" t="n">
        <v>94</v>
      </c>
      <c r="B95" s="20" t="s">
        <v>12</v>
      </c>
      <c r="C95" s="20" t="s">
        <v>445</v>
      </c>
      <c r="D95" s="21" t="s">
        <v>470</v>
      </c>
      <c r="E95" s="19" t="s">
        <v>15</v>
      </c>
      <c r="F95" s="19"/>
      <c r="G95" s="19"/>
      <c r="H95" s="20" t="s">
        <v>471</v>
      </c>
      <c r="I95" s="20" t="s">
        <v>472</v>
      </c>
      <c r="J95" s="20" t="s">
        <v>473</v>
      </c>
      <c r="K95" s="22"/>
      <c r="L95" s="23" t="n">
        <f aca="false">COUNTIF('Uji QA'!$D$2:$D$129,D95)</f>
        <v>2</v>
      </c>
      <c r="M95" s="23" t="n">
        <f aca="false">COUNTIFS('Uji QA'!$D$2:$D$129,D95,'Uji QA'!$M$2:$M$129,"Lulus")</f>
        <v>0</v>
      </c>
    </row>
    <row r="96" customFormat="false" ht="23.85" hidden="false" customHeight="false" outlineLevel="0" collapsed="false">
      <c r="A96" s="19" t="n">
        <v>95</v>
      </c>
      <c r="B96" s="20" t="s">
        <v>12</v>
      </c>
      <c r="C96" s="20" t="s">
        <v>474</v>
      </c>
      <c r="D96" s="21" t="s">
        <v>475</v>
      </c>
      <c r="E96" s="19" t="s">
        <v>15</v>
      </c>
      <c r="F96" s="19"/>
      <c r="G96" s="19"/>
      <c r="H96" s="20" t="s">
        <v>476</v>
      </c>
      <c r="I96" s="20" t="s">
        <v>477</v>
      </c>
      <c r="J96" s="20" t="s">
        <v>478</v>
      </c>
      <c r="K96" s="22"/>
      <c r="L96" s="23" t="n">
        <f aca="false">COUNTIF('Uji QA'!$D$2:$D$129,D96)</f>
        <v>1</v>
      </c>
      <c r="M96" s="23" t="n">
        <f aca="false">COUNTIFS('Uji QA'!$D$2:$D$129,D96,'Uji QA'!$M$2:$M$129,"Lulus")</f>
        <v>0</v>
      </c>
    </row>
    <row r="97" customFormat="false" ht="23.85" hidden="false" customHeight="false" outlineLevel="0" collapsed="false">
      <c r="A97" s="19" t="n">
        <v>96</v>
      </c>
      <c r="B97" s="20" t="s">
        <v>12</v>
      </c>
      <c r="C97" s="20" t="s">
        <v>474</v>
      </c>
      <c r="D97" s="21" t="s">
        <v>479</v>
      </c>
      <c r="E97" s="19" t="s">
        <v>15</v>
      </c>
      <c r="F97" s="19"/>
      <c r="G97" s="19"/>
      <c r="H97" s="20" t="s">
        <v>480</v>
      </c>
      <c r="I97" s="20" t="s">
        <v>481</v>
      </c>
      <c r="J97" s="20" t="s">
        <v>482</v>
      </c>
      <c r="K97" s="22"/>
      <c r="L97" s="23" t="n">
        <f aca="false">COUNTIF('Uji QA'!$D$2:$D$129,D97)</f>
        <v>1</v>
      </c>
      <c r="M97" s="23" t="n">
        <f aca="false">COUNTIFS('Uji QA'!$D$2:$D$129,D97,'Uji QA'!$M$2:$M$129,"Lulus")</f>
        <v>0</v>
      </c>
    </row>
    <row r="98" customFormat="false" ht="23.85" hidden="false" customHeight="false" outlineLevel="0" collapsed="false">
      <c r="A98" s="19" t="n">
        <v>97</v>
      </c>
      <c r="B98" s="20" t="s">
        <v>12</v>
      </c>
      <c r="C98" s="20" t="s">
        <v>474</v>
      </c>
      <c r="D98" s="21" t="s">
        <v>483</v>
      </c>
      <c r="E98" s="19" t="s">
        <v>15</v>
      </c>
      <c r="F98" s="19"/>
      <c r="G98" s="19"/>
      <c r="H98" s="20" t="s">
        <v>484</v>
      </c>
      <c r="I98" s="20" t="s">
        <v>485</v>
      </c>
      <c r="J98" s="20" t="s">
        <v>486</v>
      </c>
      <c r="K98" s="22"/>
      <c r="L98" s="23" t="n">
        <f aca="false">COUNTIF('Uji QA'!$D$2:$D$129,D98)</f>
        <v>1</v>
      </c>
      <c r="M98" s="23" t="n">
        <f aca="false">COUNTIFS('Uji QA'!$D$2:$D$129,D98,'Uji QA'!$M$2:$M$129,"Lulus")</f>
        <v>0</v>
      </c>
    </row>
  </sheetData>
  <autoFilter ref="A1:M98"/>
  <conditionalFormatting sqref="E2:E98">
    <cfRule type="cellIs" priority="2" operator="equal" aboveAverage="0" equalAverage="0" bottom="0" percent="0" rank="0" text="" dxfId="0">
      <formula>"Ada"</formula>
    </cfRule>
    <cfRule type="cellIs" priority="3" operator="equal" aboveAverage="0" equalAverage="0" bottom="0" percent="0" rank="0" text="" dxfId="1">
      <formula>"Belum"</formula>
    </cfRule>
  </conditionalFormatting>
  <dataValidations count="2">
    <dataValidation allowBlank="false" errorStyle="stop" operator="between" showDropDown="false" showErrorMessage="false" showInputMessage="false" sqref="E2:E98" type="list">
      <formula1>"Ada,Belum,Sebagian"</formula1>
      <formula2>0</formula2>
    </dataValidation>
    <dataValidation allowBlank="true" errorStyle="stop" operator="between" showDropDown="false" showErrorMessage="false" showInputMessage="false" sqref="K2:K98" type="list">
      <formula1>"P1 - Quick win,P2 - Pembeda,P3 - Naik kelas,P4 - Skala"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24" t="s">
        <v>487</v>
      </c>
      <c r="B1" s="24" t="s">
        <v>488</v>
      </c>
    </row>
    <row r="2" customFormat="false" ht="23.85" hidden="false" customHeight="false" outlineLevel="0" collapsed="false">
      <c r="A2" s="21" t="s">
        <v>489</v>
      </c>
      <c r="B2" s="20" t="s">
        <v>490</v>
      </c>
    </row>
    <row r="3" customFormat="false" ht="57.45" hidden="false" customHeight="false" outlineLevel="0" collapsed="false">
      <c r="A3" s="21" t="s">
        <v>491</v>
      </c>
      <c r="B3" s="20" t="s">
        <v>492</v>
      </c>
    </row>
    <row r="4" customFormat="false" ht="23.85" hidden="false" customHeight="false" outlineLevel="0" collapsed="false">
      <c r="A4" s="21" t="s">
        <v>493</v>
      </c>
      <c r="B4" s="20" t="s">
        <v>494</v>
      </c>
    </row>
    <row r="5" customFormat="false" ht="23.85" hidden="false" customHeight="false" outlineLevel="0" collapsed="false">
      <c r="A5" s="21" t="s">
        <v>495</v>
      </c>
      <c r="B5" s="20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5" min="4" style="0" width="30"/>
    <col collapsed="false" customWidth="true" hidden="false" outlineLevel="0" max="7" min="6" style="0" width="10"/>
    <col collapsed="false" customWidth="true" hidden="false" outlineLevel="0" max="8" min="8" style="0" width="28"/>
    <col collapsed="false" customWidth="true" hidden="false" outlineLevel="0" max="9" min="9" style="0" width="48"/>
    <col collapsed="false" customWidth="true" hidden="false" outlineLevel="0" max="10" min="10" style="0" width="22"/>
    <col collapsed="false" customWidth="true" hidden="false" outlineLevel="0" max="11" min="11" style="0" width="45"/>
    <col collapsed="false" customWidth="true" hidden="false" outlineLevel="0" max="12" min="12" style="0" width="30"/>
    <col collapsed="false" customWidth="true" hidden="false" outlineLevel="0" max="13" min="13" style="0" width="13"/>
    <col collapsed="false" customWidth="true" hidden="false" outlineLevel="0" max="15" min="14" style="0" width="12"/>
    <col collapsed="false" customWidth="true" hidden="false" outlineLevel="0" max="16" min="16" style="0" width="20"/>
  </cols>
  <sheetData>
    <row r="1" customFormat="false" ht="26.85" hidden="false" customHeight="false" outlineLevel="0" collapsed="false">
      <c r="A1" s="3" t="s">
        <v>497</v>
      </c>
      <c r="B1" s="3" t="s">
        <v>27</v>
      </c>
      <c r="C1" s="3" t="s">
        <v>498</v>
      </c>
      <c r="D1" s="3" t="s">
        <v>74</v>
      </c>
      <c r="E1" s="3" t="s">
        <v>499</v>
      </c>
      <c r="F1" s="3" t="s">
        <v>500</v>
      </c>
      <c r="G1" s="3" t="s">
        <v>35</v>
      </c>
      <c r="H1" s="3" t="s">
        <v>501</v>
      </c>
      <c r="I1" s="3" t="s">
        <v>502</v>
      </c>
      <c r="J1" s="3" t="s">
        <v>503</v>
      </c>
      <c r="K1" s="3" t="s">
        <v>504</v>
      </c>
      <c r="L1" s="3" t="s">
        <v>505</v>
      </c>
      <c r="M1" s="3" t="s">
        <v>53</v>
      </c>
      <c r="N1" s="3" t="s">
        <v>506</v>
      </c>
      <c r="O1" s="3" t="s">
        <v>507</v>
      </c>
      <c r="P1" s="3" t="s">
        <v>508</v>
      </c>
    </row>
    <row r="2" customFormat="false" ht="46.25" hidden="false" customHeight="false" outlineLevel="0" collapsed="false">
      <c r="A2" s="19" t="s">
        <v>509</v>
      </c>
      <c r="B2" s="20" t="str">
        <f aca="false">IFERROR(INDEX('Daftar Fitur'!$B$2:$B$98,C2),"")</f>
        <v>Pembeli</v>
      </c>
      <c r="C2" s="19" t="n">
        <f aca="false">IFERROR(MATCH(D2,'Daftar Fitur'!$D$2:$D$98,0),"")</f>
        <v>1</v>
      </c>
      <c r="D2" s="21" t="s">
        <v>84</v>
      </c>
      <c r="E2" s="20" t="s">
        <v>510</v>
      </c>
      <c r="F2" s="19" t="s">
        <v>40</v>
      </c>
      <c r="G2" s="19" t="s">
        <v>36</v>
      </c>
      <c r="H2" s="20" t="s">
        <v>511</v>
      </c>
      <c r="I2" s="20" t="s">
        <v>512</v>
      </c>
      <c r="J2" s="20" t="s">
        <v>513</v>
      </c>
      <c r="K2" s="20" t="s">
        <v>514</v>
      </c>
      <c r="L2" s="25"/>
      <c r="M2" s="22" t="s">
        <v>29</v>
      </c>
      <c r="N2" s="25"/>
      <c r="O2" s="26"/>
      <c r="P2" s="25"/>
    </row>
    <row r="3" customFormat="false" ht="35.05" hidden="false" customHeight="false" outlineLevel="0" collapsed="false">
      <c r="A3" s="19" t="s">
        <v>515</v>
      </c>
      <c r="B3" s="20" t="str">
        <f aca="false">IFERROR(INDEX('Daftar Fitur'!$B$2:$B$98,C3),"")</f>
        <v>Pembeli</v>
      </c>
      <c r="C3" s="19" t="n">
        <f aca="false">IFERROR(MATCH(D3,'Daftar Fitur'!$D$2:$D$98,0),"")</f>
        <v>1</v>
      </c>
      <c r="D3" s="21" t="s">
        <v>84</v>
      </c>
      <c r="E3" s="20" t="s">
        <v>516</v>
      </c>
      <c r="F3" s="19" t="s">
        <v>41</v>
      </c>
      <c r="G3" s="19" t="s">
        <v>36</v>
      </c>
      <c r="H3" s="20" t="s">
        <v>517</v>
      </c>
      <c r="I3" s="20" t="s">
        <v>518</v>
      </c>
      <c r="J3" s="20" t="s">
        <v>519</v>
      </c>
      <c r="K3" s="20" t="s">
        <v>520</v>
      </c>
      <c r="L3" s="25"/>
      <c r="M3" s="22" t="s">
        <v>29</v>
      </c>
      <c r="N3" s="25"/>
      <c r="O3" s="26"/>
      <c r="P3" s="25"/>
    </row>
    <row r="4" customFormat="false" ht="35.05" hidden="false" customHeight="false" outlineLevel="0" collapsed="false">
      <c r="A4" s="19" t="s">
        <v>521</v>
      </c>
      <c r="B4" s="20" t="str">
        <f aca="false">IFERROR(INDEX('Daftar Fitur'!$B$2:$B$98,C4),"")</f>
        <v>Pembeli</v>
      </c>
      <c r="C4" s="19" t="n">
        <f aca="false">IFERROR(MATCH(D4,'Daftar Fitur'!$D$2:$D$98,0),"")</f>
        <v>1</v>
      </c>
      <c r="D4" s="21" t="s">
        <v>84</v>
      </c>
      <c r="E4" s="20" t="s">
        <v>522</v>
      </c>
      <c r="F4" s="19" t="s">
        <v>41</v>
      </c>
      <c r="G4" s="19" t="s">
        <v>37</v>
      </c>
      <c r="H4" s="20" t="s">
        <v>523</v>
      </c>
      <c r="I4" s="20" t="s">
        <v>524</v>
      </c>
      <c r="J4" s="20" t="s">
        <v>525</v>
      </c>
      <c r="K4" s="20" t="s">
        <v>526</v>
      </c>
      <c r="L4" s="25"/>
      <c r="M4" s="22" t="s">
        <v>29</v>
      </c>
      <c r="N4" s="25"/>
      <c r="O4" s="26"/>
      <c r="P4" s="25"/>
    </row>
    <row r="5" customFormat="false" ht="46.25" hidden="false" customHeight="false" outlineLevel="0" collapsed="false">
      <c r="A5" s="19" t="s">
        <v>527</v>
      </c>
      <c r="B5" s="20" t="str">
        <f aca="false">IFERROR(INDEX('Daftar Fitur'!$B$2:$B$98,C5),"")</f>
        <v>Pembeli</v>
      </c>
      <c r="C5" s="19" t="n">
        <f aca="false">IFERROR(MATCH(D5,'Daftar Fitur'!$D$2:$D$98,0),"")</f>
        <v>2</v>
      </c>
      <c r="D5" s="21" t="s">
        <v>88</v>
      </c>
      <c r="E5" s="20" t="s">
        <v>528</v>
      </c>
      <c r="F5" s="19" t="s">
        <v>40</v>
      </c>
      <c r="G5" s="19" t="s">
        <v>36</v>
      </c>
      <c r="H5" s="20" t="s">
        <v>529</v>
      </c>
      <c r="I5" s="20" t="s">
        <v>530</v>
      </c>
      <c r="J5" s="20" t="s">
        <v>531</v>
      </c>
      <c r="K5" s="20" t="s">
        <v>532</v>
      </c>
      <c r="L5" s="25"/>
      <c r="M5" s="22" t="s">
        <v>29</v>
      </c>
      <c r="N5" s="25"/>
      <c r="O5" s="26"/>
      <c r="P5" s="25"/>
    </row>
    <row r="6" customFormat="false" ht="35.05" hidden="false" customHeight="false" outlineLevel="0" collapsed="false">
      <c r="A6" s="19" t="s">
        <v>533</v>
      </c>
      <c r="B6" s="20" t="str">
        <f aca="false">IFERROR(INDEX('Daftar Fitur'!$B$2:$B$98,C6),"")</f>
        <v>Pembeli</v>
      </c>
      <c r="C6" s="19" t="n">
        <f aca="false">IFERROR(MATCH(D6,'Daftar Fitur'!$D$2:$D$98,0),"")</f>
        <v>3</v>
      </c>
      <c r="D6" s="21" t="s">
        <v>93</v>
      </c>
      <c r="E6" s="20" t="s">
        <v>534</v>
      </c>
      <c r="F6" s="19" t="s">
        <v>40</v>
      </c>
      <c r="G6" s="19" t="s">
        <v>36</v>
      </c>
      <c r="H6" s="20" t="s">
        <v>535</v>
      </c>
      <c r="I6" s="20" t="s">
        <v>536</v>
      </c>
      <c r="J6" s="20" t="s">
        <v>537</v>
      </c>
      <c r="K6" s="20" t="s">
        <v>538</v>
      </c>
      <c r="L6" s="25"/>
      <c r="M6" s="22" t="s">
        <v>29</v>
      </c>
      <c r="N6" s="25"/>
      <c r="O6" s="26"/>
      <c r="P6" s="25"/>
    </row>
    <row r="7" customFormat="false" ht="35.05" hidden="false" customHeight="false" outlineLevel="0" collapsed="false">
      <c r="A7" s="19" t="s">
        <v>539</v>
      </c>
      <c r="B7" s="20" t="str">
        <f aca="false">IFERROR(INDEX('Daftar Fitur'!$B$2:$B$98,C7),"")</f>
        <v>Pembeli</v>
      </c>
      <c r="C7" s="19" t="n">
        <f aca="false">IFERROR(MATCH(D7,'Daftar Fitur'!$D$2:$D$98,0),"")</f>
        <v>3</v>
      </c>
      <c r="D7" s="21" t="s">
        <v>93</v>
      </c>
      <c r="E7" s="20" t="s">
        <v>540</v>
      </c>
      <c r="F7" s="19" t="s">
        <v>43</v>
      </c>
      <c r="G7" s="19" t="s">
        <v>36</v>
      </c>
      <c r="H7" s="20" t="s">
        <v>535</v>
      </c>
      <c r="I7" s="20" t="s">
        <v>541</v>
      </c>
      <c r="J7" s="20" t="s">
        <v>542</v>
      </c>
      <c r="K7" s="20" t="s">
        <v>543</v>
      </c>
      <c r="L7" s="25"/>
      <c r="M7" s="22" t="s">
        <v>29</v>
      </c>
      <c r="N7" s="25"/>
      <c r="O7" s="26"/>
      <c r="P7" s="25"/>
    </row>
    <row r="8" customFormat="false" ht="46.25" hidden="false" customHeight="false" outlineLevel="0" collapsed="false">
      <c r="A8" s="19" t="s">
        <v>544</v>
      </c>
      <c r="B8" s="20" t="str">
        <f aca="false">IFERROR(INDEX('Daftar Fitur'!$B$2:$B$98,C8),"")</f>
        <v>Pembeli</v>
      </c>
      <c r="C8" s="19" t="n">
        <f aca="false">IFERROR(MATCH(D8,'Daftar Fitur'!$D$2:$D$98,0),"")</f>
        <v>4</v>
      </c>
      <c r="D8" s="21" t="s">
        <v>97</v>
      </c>
      <c r="E8" s="20" t="s">
        <v>545</v>
      </c>
      <c r="F8" s="19" t="s">
        <v>40</v>
      </c>
      <c r="G8" s="19" t="s">
        <v>36</v>
      </c>
      <c r="H8" s="20" t="s">
        <v>546</v>
      </c>
      <c r="I8" s="20" t="s">
        <v>547</v>
      </c>
      <c r="J8" s="20" t="s">
        <v>548</v>
      </c>
      <c r="K8" s="20" t="s">
        <v>549</v>
      </c>
      <c r="L8" s="25"/>
      <c r="M8" s="22" t="s">
        <v>29</v>
      </c>
      <c r="N8" s="25"/>
      <c r="O8" s="26"/>
      <c r="P8" s="25"/>
    </row>
    <row r="9" customFormat="false" ht="23.85" hidden="false" customHeight="false" outlineLevel="0" collapsed="false">
      <c r="A9" s="19" t="s">
        <v>550</v>
      </c>
      <c r="B9" s="20" t="str">
        <f aca="false">IFERROR(INDEX('Daftar Fitur'!$B$2:$B$98,C9),"")</f>
        <v>Pembeli</v>
      </c>
      <c r="C9" s="19" t="n">
        <f aca="false">IFERROR(MATCH(D9,'Daftar Fitur'!$D$2:$D$98,0),"")</f>
        <v>4</v>
      </c>
      <c r="D9" s="21" t="s">
        <v>97</v>
      </c>
      <c r="E9" s="20" t="s">
        <v>551</v>
      </c>
      <c r="F9" s="19" t="s">
        <v>43</v>
      </c>
      <c r="G9" s="19" t="s">
        <v>36</v>
      </c>
      <c r="H9" s="20" t="s">
        <v>552</v>
      </c>
      <c r="I9" s="20" t="s">
        <v>553</v>
      </c>
      <c r="J9" s="20" t="s">
        <v>554</v>
      </c>
      <c r="K9" s="20" t="s">
        <v>555</v>
      </c>
      <c r="L9" s="25"/>
      <c r="M9" s="22" t="s">
        <v>29</v>
      </c>
      <c r="N9" s="25"/>
      <c r="O9" s="26"/>
      <c r="P9" s="25"/>
    </row>
    <row r="10" customFormat="false" ht="23.85" hidden="false" customHeight="false" outlineLevel="0" collapsed="false">
      <c r="A10" s="19" t="s">
        <v>556</v>
      </c>
      <c r="B10" s="20" t="str">
        <f aca="false">IFERROR(INDEX('Daftar Fitur'!$B$2:$B$98,C10),"")</f>
        <v>Pembeli</v>
      </c>
      <c r="C10" s="19" t="n">
        <f aca="false">IFERROR(MATCH(D10,'Daftar Fitur'!$D$2:$D$98,0),"")</f>
        <v>4</v>
      </c>
      <c r="D10" s="21" t="s">
        <v>97</v>
      </c>
      <c r="E10" s="20" t="s">
        <v>557</v>
      </c>
      <c r="F10" s="19" t="s">
        <v>42</v>
      </c>
      <c r="G10" s="19" t="s">
        <v>37</v>
      </c>
      <c r="H10" s="20" t="s">
        <v>552</v>
      </c>
      <c r="I10" s="20" t="s">
        <v>558</v>
      </c>
      <c r="J10" s="20" t="s">
        <v>559</v>
      </c>
      <c r="K10" s="20" t="s">
        <v>560</v>
      </c>
      <c r="L10" s="25"/>
      <c r="M10" s="22" t="s">
        <v>29</v>
      </c>
      <c r="N10" s="25"/>
      <c r="O10" s="26"/>
      <c r="P10" s="25"/>
    </row>
    <row r="11" customFormat="false" ht="23.85" hidden="false" customHeight="false" outlineLevel="0" collapsed="false">
      <c r="A11" s="19" t="s">
        <v>561</v>
      </c>
      <c r="B11" s="20" t="str">
        <f aca="false">IFERROR(INDEX('Daftar Fitur'!$B$2:$B$98,C11),"")</f>
        <v>Pembeli</v>
      </c>
      <c r="C11" s="19" t="n">
        <f aca="false">IFERROR(MATCH(D11,'Daftar Fitur'!$D$2:$D$98,0),"")</f>
        <v>4</v>
      </c>
      <c r="D11" s="21" t="s">
        <v>97</v>
      </c>
      <c r="E11" s="20" t="s">
        <v>562</v>
      </c>
      <c r="F11" s="19" t="s">
        <v>42</v>
      </c>
      <c r="G11" s="19" t="s">
        <v>37</v>
      </c>
      <c r="H11" s="20" t="s">
        <v>563</v>
      </c>
      <c r="I11" s="20" t="s">
        <v>564</v>
      </c>
      <c r="J11" s="20" t="s">
        <v>563</v>
      </c>
      <c r="K11" s="20" t="s">
        <v>565</v>
      </c>
      <c r="L11" s="25"/>
      <c r="M11" s="22" t="s">
        <v>29</v>
      </c>
      <c r="N11" s="25"/>
      <c r="O11" s="26"/>
      <c r="P11" s="25"/>
    </row>
    <row r="12" customFormat="false" ht="57.45" hidden="false" customHeight="false" outlineLevel="0" collapsed="false">
      <c r="A12" s="19" t="s">
        <v>566</v>
      </c>
      <c r="B12" s="20" t="str">
        <f aca="false">IFERROR(INDEX('Daftar Fitur'!$B$2:$B$98,C12),"")</f>
        <v>Pembeli</v>
      </c>
      <c r="C12" s="19" t="n">
        <f aca="false">IFERROR(MATCH(D12,'Daftar Fitur'!$D$2:$D$98,0),"")</f>
        <v>5</v>
      </c>
      <c r="D12" s="21" t="s">
        <v>101</v>
      </c>
      <c r="E12" s="20" t="s">
        <v>567</v>
      </c>
      <c r="F12" s="19" t="s">
        <v>40</v>
      </c>
      <c r="G12" s="19" t="s">
        <v>36</v>
      </c>
      <c r="H12" s="20" t="s">
        <v>568</v>
      </c>
      <c r="I12" s="20" t="s">
        <v>569</v>
      </c>
      <c r="J12" s="20" t="s">
        <v>570</v>
      </c>
      <c r="K12" s="20" t="s">
        <v>571</v>
      </c>
      <c r="L12" s="25"/>
      <c r="M12" s="22" t="s">
        <v>29</v>
      </c>
      <c r="N12" s="25"/>
      <c r="O12" s="26"/>
      <c r="P12" s="25"/>
    </row>
    <row r="13" customFormat="false" ht="46.25" hidden="false" customHeight="false" outlineLevel="0" collapsed="false">
      <c r="A13" s="19" t="s">
        <v>572</v>
      </c>
      <c r="B13" s="20" t="str">
        <f aca="false">IFERROR(INDEX('Daftar Fitur'!$B$2:$B$98,C13),"")</f>
        <v>Pembeli</v>
      </c>
      <c r="C13" s="19" t="n">
        <f aca="false">IFERROR(MATCH(D13,'Daftar Fitur'!$D$2:$D$98,0),"")</f>
        <v>5</v>
      </c>
      <c r="D13" s="21" t="s">
        <v>101</v>
      </c>
      <c r="E13" s="20" t="s">
        <v>573</v>
      </c>
      <c r="F13" s="19" t="s">
        <v>40</v>
      </c>
      <c r="G13" s="19" t="s">
        <v>36</v>
      </c>
      <c r="H13" s="20" t="s">
        <v>574</v>
      </c>
      <c r="I13" s="20" t="s">
        <v>575</v>
      </c>
      <c r="J13" s="20" t="s">
        <v>576</v>
      </c>
      <c r="K13" s="20" t="s">
        <v>577</v>
      </c>
      <c r="L13" s="25"/>
      <c r="M13" s="22" t="s">
        <v>29</v>
      </c>
      <c r="N13" s="25"/>
      <c r="O13" s="26"/>
      <c r="P13" s="25"/>
    </row>
    <row r="14" customFormat="false" ht="15" hidden="false" customHeight="false" outlineLevel="0" collapsed="false">
      <c r="A14" s="19" t="s">
        <v>578</v>
      </c>
      <c r="B14" s="20" t="str">
        <f aca="false">IFERROR(INDEX('Daftar Fitur'!$B$2:$B$98,C14),"")</f>
        <v>Pembeli</v>
      </c>
      <c r="C14" s="19" t="n">
        <f aca="false">IFERROR(MATCH(D14,'Daftar Fitur'!$D$2:$D$98,0),"")</f>
        <v>5</v>
      </c>
      <c r="D14" s="21" t="s">
        <v>101</v>
      </c>
      <c r="E14" s="20" t="s">
        <v>579</v>
      </c>
      <c r="F14" s="19" t="s">
        <v>43</v>
      </c>
      <c r="G14" s="19" t="s">
        <v>36</v>
      </c>
      <c r="H14" s="20" t="s">
        <v>580</v>
      </c>
      <c r="I14" s="20" t="s">
        <v>581</v>
      </c>
      <c r="J14" s="20" t="s">
        <v>563</v>
      </c>
      <c r="K14" s="20" t="s">
        <v>582</v>
      </c>
      <c r="L14" s="25"/>
      <c r="M14" s="22" t="s">
        <v>29</v>
      </c>
      <c r="N14" s="25"/>
      <c r="O14" s="26"/>
      <c r="P14" s="25"/>
    </row>
    <row r="15" customFormat="false" ht="35.05" hidden="false" customHeight="false" outlineLevel="0" collapsed="false">
      <c r="A15" s="19" t="s">
        <v>583</v>
      </c>
      <c r="B15" s="20" t="str">
        <f aca="false">IFERROR(INDEX('Daftar Fitur'!$B$2:$B$98,C15),"")</f>
        <v>Pembeli</v>
      </c>
      <c r="C15" s="19" t="n">
        <f aca="false">IFERROR(MATCH(D15,'Daftar Fitur'!$D$2:$D$98,0),"")</f>
        <v>5</v>
      </c>
      <c r="D15" s="21" t="s">
        <v>101</v>
      </c>
      <c r="E15" s="20" t="s">
        <v>584</v>
      </c>
      <c r="F15" s="19" t="s">
        <v>43</v>
      </c>
      <c r="G15" s="19" t="s">
        <v>37</v>
      </c>
      <c r="H15" s="20" t="s">
        <v>563</v>
      </c>
      <c r="I15" s="20" t="s">
        <v>585</v>
      </c>
      <c r="J15" s="20" t="s">
        <v>586</v>
      </c>
      <c r="K15" s="20" t="s">
        <v>587</v>
      </c>
      <c r="L15" s="25"/>
      <c r="M15" s="22" t="s">
        <v>29</v>
      </c>
      <c r="N15" s="25"/>
      <c r="O15" s="26"/>
      <c r="P15" s="25"/>
    </row>
    <row r="16" customFormat="false" ht="46.25" hidden="false" customHeight="false" outlineLevel="0" collapsed="false">
      <c r="A16" s="19" t="s">
        <v>588</v>
      </c>
      <c r="B16" s="20" t="str">
        <f aca="false">IFERROR(INDEX('Daftar Fitur'!$B$2:$B$98,C16),"")</f>
        <v>Pembeli</v>
      </c>
      <c r="C16" s="19" t="n">
        <f aca="false">IFERROR(MATCH(D16,'Daftar Fitur'!$D$2:$D$98,0),"")</f>
        <v>6</v>
      </c>
      <c r="D16" s="21" t="s">
        <v>105</v>
      </c>
      <c r="E16" s="20" t="s">
        <v>589</v>
      </c>
      <c r="F16" s="19" t="s">
        <v>40</v>
      </c>
      <c r="G16" s="19" t="s">
        <v>36</v>
      </c>
      <c r="H16" s="20" t="s">
        <v>590</v>
      </c>
      <c r="I16" s="20" t="s">
        <v>591</v>
      </c>
      <c r="J16" s="20" t="s">
        <v>563</v>
      </c>
      <c r="K16" s="20" t="s">
        <v>592</v>
      </c>
      <c r="L16" s="25"/>
      <c r="M16" s="22" t="s">
        <v>29</v>
      </c>
      <c r="N16" s="25"/>
      <c r="O16" s="26"/>
      <c r="P16" s="25"/>
    </row>
    <row r="17" customFormat="false" ht="23.85" hidden="false" customHeight="false" outlineLevel="0" collapsed="false">
      <c r="A17" s="19" t="s">
        <v>593</v>
      </c>
      <c r="B17" s="20" t="str">
        <f aca="false">IFERROR(INDEX('Daftar Fitur'!$B$2:$B$98,C17),"")</f>
        <v>Pembeli</v>
      </c>
      <c r="C17" s="19" t="n">
        <f aca="false">IFERROR(MATCH(D17,'Daftar Fitur'!$D$2:$D$98,0),"")</f>
        <v>6</v>
      </c>
      <c r="D17" s="21" t="s">
        <v>105</v>
      </c>
      <c r="E17" s="20" t="s">
        <v>594</v>
      </c>
      <c r="F17" s="19" t="s">
        <v>41</v>
      </c>
      <c r="G17" s="19" t="s">
        <v>36</v>
      </c>
      <c r="H17" s="20" t="s">
        <v>595</v>
      </c>
      <c r="I17" s="20" t="s">
        <v>596</v>
      </c>
      <c r="J17" s="20" t="s">
        <v>563</v>
      </c>
      <c r="K17" s="20" t="s">
        <v>597</v>
      </c>
      <c r="L17" s="25"/>
      <c r="M17" s="22" t="s">
        <v>29</v>
      </c>
      <c r="N17" s="25"/>
      <c r="O17" s="26"/>
      <c r="P17" s="25"/>
    </row>
    <row r="18" customFormat="false" ht="15" hidden="false" customHeight="false" outlineLevel="0" collapsed="false">
      <c r="A18" s="19" t="s">
        <v>598</v>
      </c>
      <c r="B18" s="20" t="str">
        <f aca="false">IFERROR(INDEX('Daftar Fitur'!$B$2:$B$98,C18),"")</f>
        <v>Pembeli</v>
      </c>
      <c r="C18" s="19" t="n">
        <f aca="false">IFERROR(MATCH(D18,'Daftar Fitur'!$D$2:$D$98,0),"")</f>
        <v>6</v>
      </c>
      <c r="D18" s="21" t="s">
        <v>105</v>
      </c>
      <c r="E18" s="20" t="s">
        <v>599</v>
      </c>
      <c r="F18" s="19" t="s">
        <v>40</v>
      </c>
      <c r="G18" s="19" t="s">
        <v>38</v>
      </c>
      <c r="H18" s="20" t="s">
        <v>595</v>
      </c>
      <c r="I18" s="20" t="s">
        <v>600</v>
      </c>
      <c r="J18" s="20" t="s">
        <v>563</v>
      </c>
      <c r="K18" s="20" t="s">
        <v>601</v>
      </c>
      <c r="L18" s="25"/>
      <c r="M18" s="22" t="s">
        <v>29</v>
      </c>
      <c r="N18" s="25"/>
      <c r="O18" s="26"/>
      <c r="P18" s="25"/>
    </row>
    <row r="19" customFormat="false" ht="35.05" hidden="false" customHeight="false" outlineLevel="0" collapsed="false">
      <c r="A19" s="19" t="s">
        <v>602</v>
      </c>
      <c r="B19" s="20" t="str">
        <f aca="false">IFERROR(INDEX('Daftar Fitur'!$B$2:$B$98,C19),"")</f>
        <v>Pembeli</v>
      </c>
      <c r="C19" s="19" t="n">
        <f aca="false">IFERROR(MATCH(D19,'Daftar Fitur'!$D$2:$D$98,0),"")</f>
        <v>7</v>
      </c>
      <c r="D19" s="21" t="s">
        <v>109</v>
      </c>
      <c r="E19" s="20" t="s">
        <v>603</v>
      </c>
      <c r="F19" s="19" t="s">
        <v>40</v>
      </c>
      <c r="G19" s="19" t="s">
        <v>37</v>
      </c>
      <c r="H19" s="20" t="s">
        <v>604</v>
      </c>
      <c r="I19" s="20" t="s">
        <v>605</v>
      </c>
      <c r="J19" s="20" t="s">
        <v>606</v>
      </c>
      <c r="K19" s="20" t="s">
        <v>607</v>
      </c>
      <c r="L19" s="25"/>
      <c r="M19" s="22" t="s">
        <v>29</v>
      </c>
      <c r="N19" s="25"/>
      <c r="O19" s="26"/>
      <c r="P19" s="25"/>
    </row>
    <row r="20" customFormat="false" ht="35.05" hidden="false" customHeight="false" outlineLevel="0" collapsed="false">
      <c r="A20" s="19" t="s">
        <v>608</v>
      </c>
      <c r="B20" s="20" t="str">
        <f aca="false">IFERROR(INDEX('Daftar Fitur'!$B$2:$B$98,C20),"")</f>
        <v>Pembeli</v>
      </c>
      <c r="C20" s="19" t="n">
        <f aca="false">IFERROR(MATCH(D20,'Daftar Fitur'!$D$2:$D$98,0),"")</f>
        <v>8</v>
      </c>
      <c r="D20" s="21" t="s">
        <v>114</v>
      </c>
      <c r="E20" s="20" t="s">
        <v>609</v>
      </c>
      <c r="F20" s="19" t="s">
        <v>40</v>
      </c>
      <c r="G20" s="19" t="s">
        <v>36</v>
      </c>
      <c r="H20" s="20" t="s">
        <v>610</v>
      </c>
      <c r="I20" s="20" t="s">
        <v>611</v>
      </c>
      <c r="J20" s="20" t="s">
        <v>612</v>
      </c>
      <c r="K20" s="20" t="s">
        <v>613</v>
      </c>
      <c r="L20" s="25"/>
      <c r="M20" s="22" t="s">
        <v>29</v>
      </c>
      <c r="N20" s="25"/>
      <c r="O20" s="26"/>
      <c r="P20" s="25"/>
    </row>
    <row r="21" customFormat="false" ht="23.85" hidden="false" customHeight="false" outlineLevel="0" collapsed="false">
      <c r="A21" s="19" t="s">
        <v>614</v>
      </c>
      <c r="B21" s="20" t="str">
        <f aca="false">IFERROR(INDEX('Daftar Fitur'!$B$2:$B$98,C21),"")</f>
        <v>Pembeli</v>
      </c>
      <c r="C21" s="19" t="n">
        <f aca="false">IFERROR(MATCH(D21,'Daftar Fitur'!$D$2:$D$98,0),"")</f>
        <v>8</v>
      </c>
      <c r="D21" s="21" t="s">
        <v>114</v>
      </c>
      <c r="E21" s="20" t="s">
        <v>615</v>
      </c>
      <c r="F21" s="19" t="s">
        <v>41</v>
      </c>
      <c r="G21" s="19" t="s">
        <v>38</v>
      </c>
      <c r="H21" s="20" t="s">
        <v>563</v>
      </c>
      <c r="I21" s="20" t="s">
        <v>616</v>
      </c>
      <c r="J21" s="20" t="s">
        <v>563</v>
      </c>
      <c r="K21" s="20" t="s">
        <v>617</v>
      </c>
      <c r="L21" s="25"/>
      <c r="M21" s="22" t="s">
        <v>29</v>
      </c>
      <c r="N21" s="25"/>
      <c r="O21" s="26"/>
      <c r="P21" s="25"/>
    </row>
    <row r="22" customFormat="false" ht="35.05" hidden="false" customHeight="false" outlineLevel="0" collapsed="false">
      <c r="A22" s="19" t="s">
        <v>618</v>
      </c>
      <c r="B22" s="20" t="str">
        <f aca="false">IFERROR(INDEX('Daftar Fitur'!$B$2:$B$98,C22),"")</f>
        <v>Pembeli</v>
      </c>
      <c r="C22" s="19" t="n">
        <f aca="false">IFERROR(MATCH(D22,'Daftar Fitur'!$D$2:$D$98,0),"")</f>
        <v>9</v>
      </c>
      <c r="D22" s="21" t="s">
        <v>118</v>
      </c>
      <c r="E22" s="20" t="s">
        <v>619</v>
      </c>
      <c r="F22" s="19" t="s">
        <v>40</v>
      </c>
      <c r="G22" s="19" t="s">
        <v>36</v>
      </c>
      <c r="H22" s="20" t="s">
        <v>563</v>
      </c>
      <c r="I22" s="20" t="s">
        <v>620</v>
      </c>
      <c r="J22" s="20" t="s">
        <v>621</v>
      </c>
      <c r="K22" s="20" t="s">
        <v>622</v>
      </c>
      <c r="L22" s="25"/>
      <c r="M22" s="22" t="s">
        <v>29</v>
      </c>
      <c r="N22" s="25"/>
      <c r="O22" s="26"/>
      <c r="P22" s="25"/>
    </row>
    <row r="23" customFormat="false" ht="23.85" hidden="false" customHeight="false" outlineLevel="0" collapsed="false">
      <c r="A23" s="19" t="s">
        <v>623</v>
      </c>
      <c r="B23" s="20" t="str">
        <f aca="false">IFERROR(INDEX('Daftar Fitur'!$B$2:$B$98,C23),"")</f>
        <v>Pembeli</v>
      </c>
      <c r="C23" s="19" t="n">
        <f aca="false">IFERROR(MATCH(D23,'Daftar Fitur'!$D$2:$D$98,0),"")</f>
        <v>9</v>
      </c>
      <c r="D23" s="21" t="s">
        <v>118</v>
      </c>
      <c r="E23" s="20" t="s">
        <v>624</v>
      </c>
      <c r="F23" s="19" t="s">
        <v>42</v>
      </c>
      <c r="G23" s="19" t="s">
        <v>38</v>
      </c>
      <c r="H23" s="20" t="s">
        <v>563</v>
      </c>
      <c r="I23" s="20" t="s">
        <v>625</v>
      </c>
      <c r="J23" s="20" t="s">
        <v>626</v>
      </c>
      <c r="K23" s="20" t="s">
        <v>627</v>
      </c>
      <c r="L23" s="25"/>
      <c r="M23" s="22" t="s">
        <v>29</v>
      </c>
      <c r="N23" s="25"/>
      <c r="O23" s="26"/>
      <c r="P23" s="25"/>
    </row>
    <row r="24" customFormat="false" ht="23.85" hidden="false" customHeight="false" outlineLevel="0" collapsed="false">
      <c r="A24" s="19" t="s">
        <v>628</v>
      </c>
      <c r="B24" s="20" t="str">
        <f aca="false">IFERROR(INDEX('Daftar Fitur'!$B$2:$B$98,C24),"")</f>
        <v>Pembeli</v>
      </c>
      <c r="C24" s="19" t="n">
        <f aca="false">IFERROR(MATCH(D24,'Daftar Fitur'!$D$2:$D$98,0),"")</f>
        <v>10</v>
      </c>
      <c r="D24" s="21" t="s">
        <v>122</v>
      </c>
      <c r="E24" s="20" t="s">
        <v>629</v>
      </c>
      <c r="F24" s="19" t="s">
        <v>40</v>
      </c>
      <c r="G24" s="19" t="s">
        <v>37</v>
      </c>
      <c r="H24" s="20" t="s">
        <v>563</v>
      </c>
      <c r="I24" s="20" t="s">
        <v>630</v>
      </c>
      <c r="J24" s="20" t="s">
        <v>563</v>
      </c>
      <c r="K24" s="20" t="s">
        <v>631</v>
      </c>
      <c r="L24" s="25"/>
      <c r="M24" s="22" t="s">
        <v>29</v>
      </c>
      <c r="N24" s="25"/>
      <c r="O24" s="26"/>
      <c r="P24" s="25"/>
    </row>
    <row r="25" customFormat="false" ht="15" hidden="false" customHeight="false" outlineLevel="0" collapsed="false">
      <c r="A25" s="19" t="s">
        <v>632</v>
      </c>
      <c r="B25" s="20" t="str">
        <f aca="false">IFERROR(INDEX('Daftar Fitur'!$B$2:$B$98,C25),"")</f>
        <v>Pembeli</v>
      </c>
      <c r="C25" s="19" t="n">
        <f aca="false">IFERROR(MATCH(D25,'Daftar Fitur'!$D$2:$D$98,0),"")</f>
        <v>11</v>
      </c>
      <c r="D25" s="21" t="s">
        <v>126</v>
      </c>
      <c r="E25" s="20" t="s">
        <v>633</v>
      </c>
      <c r="F25" s="19" t="s">
        <v>40</v>
      </c>
      <c r="G25" s="19" t="s">
        <v>38</v>
      </c>
      <c r="H25" s="20" t="s">
        <v>563</v>
      </c>
      <c r="I25" s="20" t="s">
        <v>634</v>
      </c>
      <c r="J25" s="20" t="s">
        <v>563</v>
      </c>
      <c r="K25" s="20" t="s">
        <v>635</v>
      </c>
      <c r="L25" s="25"/>
      <c r="M25" s="22" t="s">
        <v>29</v>
      </c>
      <c r="N25" s="25"/>
      <c r="O25" s="26"/>
      <c r="P25" s="25"/>
    </row>
    <row r="26" customFormat="false" ht="23.85" hidden="false" customHeight="false" outlineLevel="0" collapsed="false">
      <c r="A26" s="19" t="s">
        <v>636</v>
      </c>
      <c r="B26" s="20" t="str">
        <f aca="false">IFERROR(INDEX('Daftar Fitur'!$B$2:$B$98,C26),"")</f>
        <v>Pembeli</v>
      </c>
      <c r="C26" s="19" t="n">
        <f aca="false">IFERROR(MATCH(D26,'Daftar Fitur'!$D$2:$D$98,0),"")</f>
        <v>12</v>
      </c>
      <c r="D26" s="21" t="s">
        <v>130</v>
      </c>
      <c r="E26" s="20" t="s">
        <v>637</v>
      </c>
      <c r="F26" s="19" t="s">
        <v>40</v>
      </c>
      <c r="G26" s="19" t="s">
        <v>37</v>
      </c>
      <c r="H26" s="20" t="s">
        <v>563</v>
      </c>
      <c r="I26" s="20" t="s">
        <v>638</v>
      </c>
      <c r="J26" s="20" t="s">
        <v>639</v>
      </c>
      <c r="K26" s="20" t="s">
        <v>640</v>
      </c>
      <c r="L26" s="25"/>
      <c r="M26" s="22" t="s">
        <v>29</v>
      </c>
      <c r="N26" s="25"/>
      <c r="O26" s="26"/>
      <c r="P26" s="25"/>
    </row>
    <row r="27" customFormat="false" ht="35.05" hidden="false" customHeight="false" outlineLevel="0" collapsed="false">
      <c r="A27" s="19" t="s">
        <v>641</v>
      </c>
      <c r="B27" s="20" t="str">
        <f aca="false">IFERROR(INDEX('Daftar Fitur'!$B$2:$B$98,C27),"")</f>
        <v>Pembeli</v>
      </c>
      <c r="C27" s="19" t="n">
        <f aca="false">IFERROR(MATCH(D27,'Daftar Fitur'!$D$2:$D$98,0),"")</f>
        <v>13</v>
      </c>
      <c r="D27" s="21" t="s">
        <v>134</v>
      </c>
      <c r="E27" s="20" t="s">
        <v>642</v>
      </c>
      <c r="F27" s="19" t="s">
        <v>40</v>
      </c>
      <c r="G27" s="19" t="s">
        <v>36</v>
      </c>
      <c r="H27" s="20" t="s">
        <v>643</v>
      </c>
      <c r="I27" s="20" t="s">
        <v>644</v>
      </c>
      <c r="J27" s="20" t="s">
        <v>563</v>
      </c>
      <c r="K27" s="20" t="s">
        <v>645</v>
      </c>
      <c r="L27" s="25"/>
      <c r="M27" s="22" t="s">
        <v>29</v>
      </c>
      <c r="N27" s="25"/>
      <c r="O27" s="26"/>
      <c r="P27" s="25"/>
    </row>
    <row r="28" customFormat="false" ht="35.05" hidden="false" customHeight="false" outlineLevel="0" collapsed="false">
      <c r="A28" s="19" t="s">
        <v>646</v>
      </c>
      <c r="B28" s="20" t="str">
        <f aca="false">IFERROR(INDEX('Daftar Fitur'!$B$2:$B$98,C28),"")</f>
        <v>Pembeli</v>
      </c>
      <c r="C28" s="19" t="n">
        <f aca="false">IFERROR(MATCH(D28,'Daftar Fitur'!$D$2:$D$98,0),"")</f>
        <v>14</v>
      </c>
      <c r="D28" s="21" t="s">
        <v>138</v>
      </c>
      <c r="E28" s="20" t="s">
        <v>647</v>
      </c>
      <c r="F28" s="19" t="s">
        <v>40</v>
      </c>
      <c r="G28" s="19" t="s">
        <v>37</v>
      </c>
      <c r="H28" s="20" t="s">
        <v>604</v>
      </c>
      <c r="I28" s="20" t="s">
        <v>648</v>
      </c>
      <c r="J28" s="20" t="s">
        <v>563</v>
      </c>
      <c r="K28" s="20" t="s">
        <v>649</v>
      </c>
      <c r="L28" s="25"/>
      <c r="M28" s="22" t="s">
        <v>29</v>
      </c>
      <c r="N28" s="25"/>
      <c r="O28" s="26"/>
      <c r="P28" s="25"/>
    </row>
    <row r="29" customFormat="false" ht="23.85" hidden="false" customHeight="false" outlineLevel="0" collapsed="false">
      <c r="A29" s="19" t="s">
        <v>650</v>
      </c>
      <c r="B29" s="20" t="str">
        <f aca="false">IFERROR(INDEX('Daftar Fitur'!$B$2:$B$98,C29),"")</f>
        <v>Pembeli</v>
      </c>
      <c r="C29" s="19" t="n">
        <f aca="false">IFERROR(MATCH(D29,'Daftar Fitur'!$D$2:$D$98,0),"")</f>
        <v>14</v>
      </c>
      <c r="D29" s="21" t="s">
        <v>138</v>
      </c>
      <c r="E29" s="20" t="s">
        <v>651</v>
      </c>
      <c r="F29" s="19" t="s">
        <v>41</v>
      </c>
      <c r="G29" s="19" t="s">
        <v>38</v>
      </c>
      <c r="H29" s="20" t="s">
        <v>511</v>
      </c>
      <c r="I29" s="20" t="s">
        <v>652</v>
      </c>
      <c r="J29" s="20" t="s">
        <v>563</v>
      </c>
      <c r="K29" s="20" t="s">
        <v>653</v>
      </c>
      <c r="L29" s="25"/>
      <c r="M29" s="22" t="s">
        <v>29</v>
      </c>
      <c r="N29" s="25"/>
      <c r="O29" s="26"/>
      <c r="P29" s="25"/>
    </row>
    <row r="30" customFormat="false" ht="35.05" hidden="false" customHeight="false" outlineLevel="0" collapsed="false">
      <c r="A30" s="19" t="s">
        <v>654</v>
      </c>
      <c r="B30" s="20" t="str">
        <f aca="false">IFERROR(INDEX('Daftar Fitur'!$B$2:$B$98,C30),"")</f>
        <v>Pembeli</v>
      </c>
      <c r="C30" s="19" t="n">
        <f aca="false">IFERROR(MATCH(D30,'Daftar Fitur'!$D$2:$D$98,0),"")</f>
        <v>15</v>
      </c>
      <c r="D30" s="21" t="s">
        <v>142</v>
      </c>
      <c r="E30" s="20" t="s">
        <v>655</v>
      </c>
      <c r="F30" s="19" t="s">
        <v>40</v>
      </c>
      <c r="G30" s="19" t="s">
        <v>37</v>
      </c>
      <c r="H30" s="20" t="s">
        <v>604</v>
      </c>
      <c r="I30" s="20" t="s">
        <v>656</v>
      </c>
      <c r="J30" s="20" t="s">
        <v>563</v>
      </c>
      <c r="K30" s="20" t="s">
        <v>657</v>
      </c>
      <c r="L30" s="25"/>
      <c r="M30" s="22" t="s">
        <v>29</v>
      </c>
      <c r="N30" s="25"/>
      <c r="O30" s="26"/>
      <c r="P30" s="25"/>
    </row>
    <row r="31" customFormat="false" ht="23.85" hidden="false" customHeight="false" outlineLevel="0" collapsed="false">
      <c r="A31" s="19" t="s">
        <v>658</v>
      </c>
      <c r="B31" s="20" t="str">
        <f aca="false">IFERROR(INDEX('Daftar Fitur'!$B$2:$B$98,C31),"")</f>
        <v>Pembeli</v>
      </c>
      <c r="C31" s="19" t="n">
        <f aca="false">IFERROR(MATCH(D31,'Daftar Fitur'!$D$2:$D$98,0),"")</f>
        <v>16</v>
      </c>
      <c r="D31" s="21" t="s">
        <v>146</v>
      </c>
      <c r="E31" s="20" t="s">
        <v>659</v>
      </c>
      <c r="F31" s="19" t="s">
        <v>40</v>
      </c>
      <c r="G31" s="19" t="s">
        <v>37</v>
      </c>
      <c r="H31" s="20" t="s">
        <v>660</v>
      </c>
      <c r="I31" s="20" t="s">
        <v>661</v>
      </c>
      <c r="J31" s="20" t="s">
        <v>563</v>
      </c>
      <c r="K31" s="20" t="s">
        <v>662</v>
      </c>
      <c r="L31" s="25"/>
      <c r="M31" s="22" t="s">
        <v>29</v>
      </c>
      <c r="N31" s="25"/>
      <c r="O31" s="26"/>
      <c r="P31" s="25"/>
    </row>
    <row r="32" customFormat="false" ht="35.05" hidden="false" customHeight="false" outlineLevel="0" collapsed="false">
      <c r="A32" s="19" t="s">
        <v>663</v>
      </c>
      <c r="B32" s="20" t="str">
        <f aca="false">IFERROR(INDEX('Daftar Fitur'!$B$2:$B$98,C32),"")</f>
        <v>Pembeli</v>
      </c>
      <c r="C32" s="19" t="n">
        <f aca="false">IFERROR(MATCH(D32,'Daftar Fitur'!$D$2:$D$98,0),"")</f>
        <v>17</v>
      </c>
      <c r="D32" s="21" t="s">
        <v>150</v>
      </c>
      <c r="E32" s="20" t="s">
        <v>664</v>
      </c>
      <c r="F32" s="19" t="s">
        <v>40</v>
      </c>
      <c r="G32" s="19" t="s">
        <v>37</v>
      </c>
      <c r="H32" s="20" t="s">
        <v>665</v>
      </c>
      <c r="I32" s="20" t="s">
        <v>666</v>
      </c>
      <c r="J32" s="20" t="s">
        <v>667</v>
      </c>
      <c r="K32" s="20" t="s">
        <v>668</v>
      </c>
      <c r="L32" s="25"/>
      <c r="M32" s="22" t="s">
        <v>29</v>
      </c>
      <c r="N32" s="25"/>
      <c r="O32" s="26"/>
      <c r="P32" s="25"/>
    </row>
    <row r="33" customFormat="false" ht="23.85" hidden="false" customHeight="false" outlineLevel="0" collapsed="false">
      <c r="A33" s="19" t="s">
        <v>669</v>
      </c>
      <c r="B33" s="20" t="str">
        <f aca="false">IFERROR(INDEX('Daftar Fitur'!$B$2:$B$98,C33),"")</f>
        <v>Pembeli</v>
      </c>
      <c r="C33" s="19" t="n">
        <f aca="false">IFERROR(MATCH(D33,'Daftar Fitur'!$D$2:$D$98,0),"")</f>
        <v>18</v>
      </c>
      <c r="D33" s="21" t="s">
        <v>154</v>
      </c>
      <c r="E33" s="20" t="s">
        <v>670</v>
      </c>
      <c r="F33" s="19" t="s">
        <v>40</v>
      </c>
      <c r="G33" s="19" t="s">
        <v>38</v>
      </c>
      <c r="H33" s="20" t="s">
        <v>671</v>
      </c>
      <c r="I33" s="20" t="s">
        <v>672</v>
      </c>
      <c r="J33" s="20" t="s">
        <v>563</v>
      </c>
      <c r="K33" s="20" t="s">
        <v>673</v>
      </c>
      <c r="L33" s="25"/>
      <c r="M33" s="22" t="s">
        <v>29</v>
      </c>
      <c r="N33" s="25"/>
      <c r="O33" s="26"/>
      <c r="P33" s="25"/>
    </row>
    <row r="34" customFormat="false" ht="35.05" hidden="false" customHeight="false" outlineLevel="0" collapsed="false">
      <c r="A34" s="19" t="s">
        <v>674</v>
      </c>
      <c r="B34" s="20" t="str">
        <f aca="false">IFERROR(INDEX('Daftar Fitur'!$B$2:$B$98,C34),"")</f>
        <v>Pembeli</v>
      </c>
      <c r="C34" s="19" t="n">
        <f aca="false">IFERROR(MATCH(D34,'Daftar Fitur'!$D$2:$D$98,0),"")</f>
        <v>19</v>
      </c>
      <c r="D34" s="21" t="s">
        <v>159</v>
      </c>
      <c r="E34" s="20" t="s">
        <v>675</v>
      </c>
      <c r="F34" s="19" t="s">
        <v>40</v>
      </c>
      <c r="G34" s="19" t="s">
        <v>36</v>
      </c>
      <c r="H34" s="20" t="s">
        <v>563</v>
      </c>
      <c r="I34" s="20" t="s">
        <v>676</v>
      </c>
      <c r="J34" s="20" t="s">
        <v>677</v>
      </c>
      <c r="K34" s="20" t="s">
        <v>678</v>
      </c>
      <c r="L34" s="25"/>
      <c r="M34" s="22" t="s">
        <v>29</v>
      </c>
      <c r="N34" s="25"/>
      <c r="O34" s="26"/>
      <c r="P34" s="25"/>
    </row>
    <row r="35" customFormat="false" ht="23.85" hidden="false" customHeight="false" outlineLevel="0" collapsed="false">
      <c r="A35" s="19" t="s">
        <v>679</v>
      </c>
      <c r="B35" s="20" t="str">
        <f aca="false">IFERROR(INDEX('Daftar Fitur'!$B$2:$B$98,C35),"")</f>
        <v>Pembeli</v>
      </c>
      <c r="C35" s="19" t="n">
        <f aca="false">IFERROR(MATCH(D35,'Daftar Fitur'!$D$2:$D$98,0),"")</f>
        <v>19</v>
      </c>
      <c r="D35" s="21" t="s">
        <v>159</v>
      </c>
      <c r="E35" s="20" t="s">
        <v>680</v>
      </c>
      <c r="F35" s="19" t="s">
        <v>42</v>
      </c>
      <c r="G35" s="19" t="s">
        <v>36</v>
      </c>
      <c r="H35" s="20" t="s">
        <v>681</v>
      </c>
      <c r="I35" s="20" t="s">
        <v>682</v>
      </c>
      <c r="J35" s="20" t="s">
        <v>683</v>
      </c>
      <c r="K35" s="20" t="s">
        <v>684</v>
      </c>
      <c r="L35" s="25"/>
      <c r="M35" s="22" t="s">
        <v>29</v>
      </c>
      <c r="N35" s="25"/>
      <c r="O35" s="26"/>
      <c r="P35" s="25"/>
    </row>
    <row r="36" customFormat="false" ht="46.25" hidden="false" customHeight="false" outlineLevel="0" collapsed="false">
      <c r="A36" s="19" t="s">
        <v>685</v>
      </c>
      <c r="B36" s="20" t="str">
        <f aca="false">IFERROR(INDEX('Daftar Fitur'!$B$2:$B$98,C36),"")</f>
        <v>Pembeli</v>
      </c>
      <c r="C36" s="19" t="n">
        <f aca="false">IFERROR(MATCH(D36,'Daftar Fitur'!$D$2:$D$98,0),"")</f>
        <v>20</v>
      </c>
      <c r="D36" s="21" t="s">
        <v>163</v>
      </c>
      <c r="E36" s="20" t="s">
        <v>686</v>
      </c>
      <c r="F36" s="19" t="s">
        <v>40</v>
      </c>
      <c r="G36" s="19" t="s">
        <v>37</v>
      </c>
      <c r="H36" s="20" t="s">
        <v>687</v>
      </c>
      <c r="I36" s="20" t="s">
        <v>688</v>
      </c>
      <c r="J36" s="20" t="s">
        <v>689</v>
      </c>
      <c r="K36" s="20" t="s">
        <v>690</v>
      </c>
      <c r="L36" s="25"/>
      <c r="M36" s="22" t="s">
        <v>29</v>
      </c>
      <c r="N36" s="25"/>
      <c r="O36" s="26"/>
      <c r="P36" s="25"/>
    </row>
    <row r="37" customFormat="false" ht="35.05" hidden="false" customHeight="false" outlineLevel="0" collapsed="false">
      <c r="A37" s="19" t="s">
        <v>691</v>
      </c>
      <c r="B37" s="20" t="str">
        <f aca="false">IFERROR(INDEX('Daftar Fitur'!$B$2:$B$98,C37),"")</f>
        <v>Pembeli</v>
      </c>
      <c r="C37" s="19" t="n">
        <f aca="false">IFERROR(MATCH(D37,'Daftar Fitur'!$D$2:$D$98,0),"")</f>
        <v>21</v>
      </c>
      <c r="D37" s="21" t="s">
        <v>167</v>
      </c>
      <c r="E37" s="20" t="s">
        <v>692</v>
      </c>
      <c r="F37" s="19" t="s">
        <v>40</v>
      </c>
      <c r="G37" s="19" t="s">
        <v>36</v>
      </c>
      <c r="H37" s="20" t="s">
        <v>693</v>
      </c>
      <c r="I37" s="20" t="s">
        <v>694</v>
      </c>
      <c r="J37" s="20" t="s">
        <v>695</v>
      </c>
      <c r="K37" s="20" t="s">
        <v>696</v>
      </c>
      <c r="L37" s="25"/>
      <c r="M37" s="22" t="s">
        <v>29</v>
      </c>
      <c r="N37" s="25"/>
      <c r="O37" s="26"/>
      <c r="P37" s="25"/>
    </row>
    <row r="38" customFormat="false" ht="35.05" hidden="false" customHeight="false" outlineLevel="0" collapsed="false">
      <c r="A38" s="19" t="s">
        <v>697</v>
      </c>
      <c r="B38" s="20" t="str">
        <f aca="false">IFERROR(INDEX('Daftar Fitur'!$B$2:$B$98,C38),"")</f>
        <v>Pembeli</v>
      </c>
      <c r="C38" s="19" t="n">
        <f aca="false">IFERROR(MATCH(D38,'Daftar Fitur'!$D$2:$D$98,0),"")</f>
        <v>22</v>
      </c>
      <c r="D38" s="21" t="s">
        <v>171</v>
      </c>
      <c r="E38" s="20" t="s">
        <v>698</v>
      </c>
      <c r="F38" s="19" t="s">
        <v>40</v>
      </c>
      <c r="G38" s="19" t="s">
        <v>36</v>
      </c>
      <c r="H38" s="20" t="s">
        <v>699</v>
      </c>
      <c r="I38" s="20" t="s">
        <v>700</v>
      </c>
      <c r="J38" s="20" t="s">
        <v>701</v>
      </c>
      <c r="K38" s="20" t="s">
        <v>702</v>
      </c>
      <c r="L38" s="25"/>
      <c r="M38" s="22" t="s">
        <v>29</v>
      </c>
      <c r="N38" s="25"/>
      <c r="O38" s="26"/>
      <c r="P38" s="25"/>
    </row>
    <row r="39" customFormat="false" ht="23.85" hidden="false" customHeight="false" outlineLevel="0" collapsed="false">
      <c r="A39" s="19" t="s">
        <v>703</v>
      </c>
      <c r="B39" s="20" t="str">
        <f aca="false">IFERROR(INDEX('Daftar Fitur'!$B$2:$B$98,C39),"")</f>
        <v>Pembeli</v>
      </c>
      <c r="C39" s="19" t="n">
        <f aca="false">IFERROR(MATCH(D39,'Daftar Fitur'!$D$2:$D$98,0),"")</f>
        <v>22</v>
      </c>
      <c r="D39" s="21" t="s">
        <v>171</v>
      </c>
      <c r="E39" s="20" t="s">
        <v>704</v>
      </c>
      <c r="F39" s="19" t="s">
        <v>43</v>
      </c>
      <c r="G39" s="19" t="s">
        <v>36</v>
      </c>
      <c r="H39" s="20" t="s">
        <v>563</v>
      </c>
      <c r="I39" s="20" t="s">
        <v>705</v>
      </c>
      <c r="J39" s="20" t="s">
        <v>706</v>
      </c>
      <c r="K39" s="20" t="s">
        <v>707</v>
      </c>
      <c r="L39" s="25"/>
      <c r="M39" s="22" t="s">
        <v>29</v>
      </c>
      <c r="N39" s="25"/>
      <c r="O39" s="26"/>
      <c r="P39" s="25"/>
    </row>
    <row r="40" customFormat="false" ht="23.85" hidden="false" customHeight="false" outlineLevel="0" collapsed="false">
      <c r="A40" s="19" t="s">
        <v>708</v>
      </c>
      <c r="B40" s="20" t="str">
        <f aca="false">IFERROR(INDEX('Daftar Fitur'!$B$2:$B$98,C40),"")</f>
        <v>Pembeli</v>
      </c>
      <c r="C40" s="19" t="n">
        <f aca="false">IFERROR(MATCH(D40,'Daftar Fitur'!$D$2:$D$98,0),"")</f>
        <v>23</v>
      </c>
      <c r="D40" s="21" t="s">
        <v>175</v>
      </c>
      <c r="E40" s="20" t="s">
        <v>709</v>
      </c>
      <c r="F40" s="19" t="s">
        <v>40</v>
      </c>
      <c r="G40" s="19" t="s">
        <v>36</v>
      </c>
      <c r="H40" s="20" t="s">
        <v>710</v>
      </c>
      <c r="I40" s="20" t="s">
        <v>711</v>
      </c>
      <c r="J40" s="20" t="s">
        <v>712</v>
      </c>
      <c r="K40" s="20" t="s">
        <v>713</v>
      </c>
      <c r="L40" s="25"/>
      <c r="M40" s="22" t="s">
        <v>29</v>
      </c>
      <c r="N40" s="25"/>
      <c r="O40" s="26"/>
      <c r="P40" s="25"/>
    </row>
    <row r="41" customFormat="false" ht="23.85" hidden="false" customHeight="false" outlineLevel="0" collapsed="false">
      <c r="A41" s="19" t="s">
        <v>714</v>
      </c>
      <c r="B41" s="20" t="str">
        <f aca="false">IFERROR(INDEX('Daftar Fitur'!$B$2:$B$98,C41),"")</f>
        <v>Pembeli</v>
      </c>
      <c r="C41" s="19" t="n">
        <f aca="false">IFERROR(MATCH(D41,'Daftar Fitur'!$D$2:$D$98,0),"")</f>
        <v>23</v>
      </c>
      <c r="D41" s="21" t="s">
        <v>175</v>
      </c>
      <c r="E41" s="20" t="s">
        <v>715</v>
      </c>
      <c r="F41" s="19" t="s">
        <v>41</v>
      </c>
      <c r="G41" s="19" t="s">
        <v>36</v>
      </c>
      <c r="H41" s="20" t="s">
        <v>563</v>
      </c>
      <c r="I41" s="20" t="s">
        <v>716</v>
      </c>
      <c r="J41" s="20" t="s">
        <v>563</v>
      </c>
      <c r="K41" s="20" t="s">
        <v>717</v>
      </c>
      <c r="L41" s="25"/>
      <c r="M41" s="22" t="s">
        <v>29</v>
      </c>
      <c r="N41" s="25"/>
      <c r="O41" s="26"/>
      <c r="P41" s="25"/>
    </row>
    <row r="42" customFormat="false" ht="23.85" hidden="false" customHeight="false" outlineLevel="0" collapsed="false">
      <c r="A42" s="19" t="s">
        <v>718</v>
      </c>
      <c r="B42" s="20" t="str">
        <f aca="false">IFERROR(INDEX('Daftar Fitur'!$B$2:$B$98,C42),"")</f>
        <v>Pembeli</v>
      </c>
      <c r="C42" s="19" t="n">
        <f aca="false">IFERROR(MATCH(D42,'Daftar Fitur'!$D$2:$D$98,0),"")</f>
        <v>23</v>
      </c>
      <c r="D42" s="21" t="s">
        <v>175</v>
      </c>
      <c r="E42" s="20" t="s">
        <v>719</v>
      </c>
      <c r="F42" s="19" t="s">
        <v>42</v>
      </c>
      <c r="G42" s="19" t="s">
        <v>37</v>
      </c>
      <c r="H42" s="20" t="s">
        <v>720</v>
      </c>
      <c r="I42" s="20" t="s">
        <v>721</v>
      </c>
      <c r="J42" s="20" t="s">
        <v>563</v>
      </c>
      <c r="K42" s="20" t="s">
        <v>722</v>
      </c>
      <c r="L42" s="25"/>
      <c r="M42" s="22" t="s">
        <v>29</v>
      </c>
      <c r="N42" s="25"/>
      <c r="O42" s="26"/>
      <c r="P42" s="25"/>
    </row>
    <row r="43" customFormat="false" ht="35.05" hidden="false" customHeight="false" outlineLevel="0" collapsed="false">
      <c r="A43" s="19" t="s">
        <v>723</v>
      </c>
      <c r="B43" s="20" t="str">
        <f aca="false">IFERROR(INDEX('Daftar Fitur'!$B$2:$B$98,C43),"")</f>
        <v>Pembeli</v>
      </c>
      <c r="C43" s="19" t="n">
        <f aca="false">IFERROR(MATCH(D43,'Daftar Fitur'!$D$2:$D$98,0),"")</f>
        <v>24</v>
      </c>
      <c r="D43" s="21" t="s">
        <v>179</v>
      </c>
      <c r="E43" s="20" t="s">
        <v>724</v>
      </c>
      <c r="F43" s="19" t="s">
        <v>40</v>
      </c>
      <c r="G43" s="19" t="s">
        <v>36</v>
      </c>
      <c r="H43" s="20" t="s">
        <v>725</v>
      </c>
      <c r="I43" s="20" t="s">
        <v>726</v>
      </c>
      <c r="J43" s="20" t="s">
        <v>563</v>
      </c>
      <c r="K43" s="20" t="s">
        <v>727</v>
      </c>
      <c r="L43" s="25"/>
      <c r="M43" s="22" t="s">
        <v>29</v>
      </c>
      <c r="N43" s="25"/>
      <c r="O43" s="26"/>
      <c r="P43" s="25"/>
    </row>
    <row r="44" customFormat="false" ht="46.25" hidden="false" customHeight="false" outlineLevel="0" collapsed="false">
      <c r="A44" s="19" t="s">
        <v>728</v>
      </c>
      <c r="B44" s="20" t="str">
        <f aca="false">IFERROR(INDEX('Daftar Fitur'!$B$2:$B$98,C44),"")</f>
        <v>Pembeli</v>
      </c>
      <c r="C44" s="19" t="n">
        <f aca="false">IFERROR(MATCH(D44,'Daftar Fitur'!$D$2:$D$98,0),"")</f>
        <v>25</v>
      </c>
      <c r="D44" s="21" t="s">
        <v>183</v>
      </c>
      <c r="E44" s="20" t="s">
        <v>729</v>
      </c>
      <c r="F44" s="19" t="s">
        <v>40</v>
      </c>
      <c r="G44" s="19" t="s">
        <v>36</v>
      </c>
      <c r="H44" s="20" t="s">
        <v>730</v>
      </c>
      <c r="I44" s="20" t="s">
        <v>731</v>
      </c>
      <c r="J44" s="20" t="s">
        <v>732</v>
      </c>
      <c r="K44" s="20" t="s">
        <v>733</v>
      </c>
      <c r="L44" s="25"/>
      <c r="M44" s="22" t="s">
        <v>29</v>
      </c>
      <c r="N44" s="25"/>
      <c r="O44" s="26"/>
      <c r="P44" s="25"/>
    </row>
    <row r="45" customFormat="false" ht="23.85" hidden="false" customHeight="false" outlineLevel="0" collapsed="false">
      <c r="A45" s="19" t="s">
        <v>734</v>
      </c>
      <c r="B45" s="20" t="str">
        <f aca="false">IFERROR(INDEX('Daftar Fitur'!$B$2:$B$98,C45),"")</f>
        <v>Pembeli</v>
      </c>
      <c r="C45" s="19" t="n">
        <f aca="false">IFERROR(MATCH(D45,'Daftar Fitur'!$D$2:$D$98,0),"")</f>
        <v>25</v>
      </c>
      <c r="D45" s="21" t="s">
        <v>183</v>
      </c>
      <c r="E45" s="20" t="s">
        <v>735</v>
      </c>
      <c r="F45" s="19" t="s">
        <v>42</v>
      </c>
      <c r="G45" s="19" t="s">
        <v>36</v>
      </c>
      <c r="H45" s="20" t="s">
        <v>736</v>
      </c>
      <c r="I45" s="20" t="s">
        <v>737</v>
      </c>
      <c r="J45" s="20" t="s">
        <v>563</v>
      </c>
      <c r="K45" s="20" t="s">
        <v>738</v>
      </c>
      <c r="L45" s="25"/>
      <c r="M45" s="22" t="s">
        <v>29</v>
      </c>
      <c r="N45" s="25"/>
      <c r="O45" s="26"/>
      <c r="P45" s="25"/>
    </row>
    <row r="46" customFormat="false" ht="23.85" hidden="false" customHeight="false" outlineLevel="0" collapsed="false">
      <c r="A46" s="19" t="s">
        <v>739</v>
      </c>
      <c r="B46" s="20" t="str">
        <f aca="false">IFERROR(INDEX('Daftar Fitur'!$B$2:$B$98,C46),"")</f>
        <v>Pembeli</v>
      </c>
      <c r="C46" s="19" t="n">
        <f aca="false">IFERROR(MATCH(D46,'Daftar Fitur'!$D$2:$D$98,0),"")</f>
        <v>26</v>
      </c>
      <c r="D46" s="21" t="s">
        <v>188</v>
      </c>
      <c r="E46" s="20" t="s">
        <v>740</v>
      </c>
      <c r="F46" s="19" t="s">
        <v>40</v>
      </c>
      <c r="G46" s="19" t="s">
        <v>37</v>
      </c>
      <c r="H46" s="20" t="s">
        <v>741</v>
      </c>
      <c r="I46" s="20" t="s">
        <v>742</v>
      </c>
      <c r="J46" s="20" t="s">
        <v>563</v>
      </c>
      <c r="K46" s="20" t="s">
        <v>743</v>
      </c>
      <c r="L46" s="25"/>
      <c r="M46" s="22" t="s">
        <v>29</v>
      </c>
      <c r="N46" s="25"/>
      <c r="O46" s="26"/>
      <c r="P46" s="25"/>
    </row>
    <row r="47" customFormat="false" ht="15" hidden="false" customHeight="false" outlineLevel="0" collapsed="false">
      <c r="A47" s="19" t="s">
        <v>744</v>
      </c>
      <c r="B47" s="20" t="str">
        <f aca="false">IFERROR(INDEX('Daftar Fitur'!$B$2:$B$98,C47),"")</f>
        <v>Pembeli</v>
      </c>
      <c r="C47" s="19" t="n">
        <f aca="false">IFERROR(MATCH(D47,'Daftar Fitur'!$D$2:$D$98,0),"")</f>
        <v>27</v>
      </c>
      <c r="D47" s="21" t="s">
        <v>192</v>
      </c>
      <c r="E47" s="20" t="s">
        <v>745</v>
      </c>
      <c r="F47" s="19" t="s">
        <v>40</v>
      </c>
      <c r="G47" s="19" t="s">
        <v>37</v>
      </c>
      <c r="H47" s="20" t="s">
        <v>746</v>
      </c>
      <c r="I47" s="20" t="s">
        <v>747</v>
      </c>
      <c r="J47" s="20" t="s">
        <v>748</v>
      </c>
      <c r="K47" s="20" t="s">
        <v>749</v>
      </c>
      <c r="L47" s="25"/>
      <c r="M47" s="22" t="s">
        <v>29</v>
      </c>
      <c r="N47" s="25"/>
      <c r="O47" s="26"/>
      <c r="P47" s="25"/>
    </row>
    <row r="48" customFormat="false" ht="23.85" hidden="false" customHeight="false" outlineLevel="0" collapsed="false">
      <c r="A48" s="19" t="s">
        <v>750</v>
      </c>
      <c r="B48" s="20" t="str">
        <f aca="false">IFERROR(INDEX('Daftar Fitur'!$B$2:$B$98,C48),"")</f>
        <v>Pembeli</v>
      </c>
      <c r="C48" s="19" t="n">
        <f aca="false">IFERROR(MATCH(D48,'Daftar Fitur'!$D$2:$D$98,0),"")</f>
        <v>28</v>
      </c>
      <c r="D48" s="21" t="s">
        <v>196</v>
      </c>
      <c r="E48" s="20" t="s">
        <v>751</v>
      </c>
      <c r="F48" s="19" t="s">
        <v>40</v>
      </c>
      <c r="G48" s="19" t="s">
        <v>36</v>
      </c>
      <c r="H48" s="20" t="s">
        <v>752</v>
      </c>
      <c r="I48" s="20" t="s">
        <v>753</v>
      </c>
      <c r="J48" s="20" t="s">
        <v>563</v>
      </c>
      <c r="K48" s="20" t="s">
        <v>754</v>
      </c>
      <c r="L48" s="25"/>
      <c r="M48" s="22" t="s">
        <v>29</v>
      </c>
      <c r="N48" s="25"/>
      <c r="O48" s="26"/>
      <c r="P48" s="25"/>
    </row>
    <row r="49" customFormat="false" ht="23.85" hidden="false" customHeight="false" outlineLevel="0" collapsed="false">
      <c r="A49" s="19" t="s">
        <v>755</v>
      </c>
      <c r="B49" s="20" t="str">
        <f aca="false">IFERROR(INDEX('Daftar Fitur'!$B$2:$B$98,C49),"")</f>
        <v>Pembeli</v>
      </c>
      <c r="C49" s="19" t="n">
        <f aca="false">IFERROR(MATCH(D49,'Daftar Fitur'!$D$2:$D$98,0),"")</f>
        <v>29</v>
      </c>
      <c r="D49" s="21" t="s">
        <v>200</v>
      </c>
      <c r="E49" s="20" t="s">
        <v>756</v>
      </c>
      <c r="F49" s="19" t="s">
        <v>40</v>
      </c>
      <c r="G49" s="19" t="s">
        <v>36</v>
      </c>
      <c r="H49" s="20" t="s">
        <v>757</v>
      </c>
      <c r="I49" s="20" t="s">
        <v>758</v>
      </c>
      <c r="J49" s="20" t="s">
        <v>759</v>
      </c>
      <c r="K49" s="20" t="s">
        <v>760</v>
      </c>
      <c r="L49" s="25"/>
      <c r="M49" s="22" t="s">
        <v>29</v>
      </c>
      <c r="N49" s="25"/>
      <c r="O49" s="26"/>
      <c r="P49" s="25"/>
    </row>
    <row r="50" customFormat="false" ht="23.85" hidden="false" customHeight="false" outlineLevel="0" collapsed="false">
      <c r="A50" s="19" t="s">
        <v>761</v>
      </c>
      <c r="B50" s="20" t="str">
        <f aca="false">IFERROR(INDEX('Daftar Fitur'!$B$2:$B$98,C50),"")</f>
        <v>Pembeli</v>
      </c>
      <c r="C50" s="19" t="n">
        <f aca="false">IFERROR(MATCH(D50,'Daftar Fitur'!$D$2:$D$98,0),"")</f>
        <v>30</v>
      </c>
      <c r="D50" s="21" t="s">
        <v>204</v>
      </c>
      <c r="E50" s="20" t="s">
        <v>762</v>
      </c>
      <c r="F50" s="19" t="s">
        <v>40</v>
      </c>
      <c r="G50" s="19" t="s">
        <v>37</v>
      </c>
      <c r="H50" s="20" t="s">
        <v>763</v>
      </c>
      <c r="I50" s="20" t="s">
        <v>764</v>
      </c>
      <c r="J50" s="20" t="s">
        <v>765</v>
      </c>
      <c r="K50" s="20" t="s">
        <v>766</v>
      </c>
      <c r="L50" s="25"/>
      <c r="M50" s="22" t="s">
        <v>29</v>
      </c>
      <c r="N50" s="25"/>
      <c r="O50" s="26"/>
      <c r="P50" s="25"/>
    </row>
    <row r="51" customFormat="false" ht="15" hidden="false" customHeight="false" outlineLevel="0" collapsed="false">
      <c r="A51" s="19" t="s">
        <v>767</v>
      </c>
      <c r="B51" s="20" t="str">
        <f aca="false">IFERROR(INDEX('Daftar Fitur'!$B$2:$B$98,C51),"")</f>
        <v>Pembeli</v>
      </c>
      <c r="C51" s="19" t="n">
        <f aca="false">IFERROR(MATCH(D51,'Daftar Fitur'!$D$2:$D$98,0),"")</f>
        <v>30</v>
      </c>
      <c r="D51" s="21" t="s">
        <v>204</v>
      </c>
      <c r="E51" s="20" t="s">
        <v>768</v>
      </c>
      <c r="F51" s="19" t="s">
        <v>41</v>
      </c>
      <c r="G51" s="19" t="s">
        <v>37</v>
      </c>
      <c r="H51" s="20" t="s">
        <v>769</v>
      </c>
      <c r="I51" s="20" t="s">
        <v>770</v>
      </c>
      <c r="J51" s="20" t="s">
        <v>563</v>
      </c>
      <c r="K51" s="20" t="s">
        <v>771</v>
      </c>
      <c r="L51" s="25"/>
      <c r="M51" s="22" t="s">
        <v>29</v>
      </c>
      <c r="N51" s="25"/>
      <c r="O51" s="26"/>
      <c r="P51" s="25"/>
    </row>
    <row r="52" customFormat="false" ht="23.85" hidden="false" customHeight="false" outlineLevel="0" collapsed="false">
      <c r="A52" s="19" t="s">
        <v>772</v>
      </c>
      <c r="B52" s="20" t="str">
        <f aca="false">IFERROR(INDEX('Daftar Fitur'!$B$2:$B$98,C52),"")</f>
        <v>Pembeli</v>
      </c>
      <c r="C52" s="19" t="n">
        <f aca="false">IFERROR(MATCH(D52,'Daftar Fitur'!$D$2:$D$98,0),"")</f>
        <v>31</v>
      </c>
      <c r="D52" s="21" t="s">
        <v>208</v>
      </c>
      <c r="E52" s="20" t="s">
        <v>773</v>
      </c>
      <c r="F52" s="19" t="s">
        <v>40</v>
      </c>
      <c r="G52" s="19" t="s">
        <v>37</v>
      </c>
      <c r="H52" s="20" t="s">
        <v>604</v>
      </c>
      <c r="I52" s="20" t="s">
        <v>774</v>
      </c>
      <c r="J52" s="20" t="s">
        <v>563</v>
      </c>
      <c r="K52" s="20" t="s">
        <v>775</v>
      </c>
      <c r="L52" s="25"/>
      <c r="M52" s="22" t="s">
        <v>29</v>
      </c>
      <c r="N52" s="25"/>
      <c r="O52" s="26"/>
      <c r="P52" s="25"/>
    </row>
    <row r="53" customFormat="false" ht="23.85" hidden="false" customHeight="false" outlineLevel="0" collapsed="false">
      <c r="A53" s="19" t="s">
        <v>776</v>
      </c>
      <c r="B53" s="20" t="str">
        <f aca="false">IFERROR(INDEX('Daftar Fitur'!$B$2:$B$98,C53),"")</f>
        <v>Pembeli</v>
      </c>
      <c r="C53" s="19" t="n">
        <f aca="false">IFERROR(MATCH(D53,'Daftar Fitur'!$D$2:$D$98,0),"")</f>
        <v>32</v>
      </c>
      <c r="D53" s="21" t="s">
        <v>212</v>
      </c>
      <c r="E53" s="20" t="s">
        <v>777</v>
      </c>
      <c r="F53" s="19" t="s">
        <v>40</v>
      </c>
      <c r="G53" s="19" t="s">
        <v>38</v>
      </c>
      <c r="H53" s="20" t="s">
        <v>604</v>
      </c>
      <c r="I53" s="20" t="s">
        <v>778</v>
      </c>
      <c r="J53" s="20" t="s">
        <v>563</v>
      </c>
      <c r="K53" s="20" t="s">
        <v>779</v>
      </c>
      <c r="L53" s="25"/>
      <c r="M53" s="22" t="s">
        <v>29</v>
      </c>
      <c r="N53" s="25"/>
      <c r="O53" s="26"/>
      <c r="P53" s="25"/>
    </row>
    <row r="54" customFormat="false" ht="35.05" hidden="false" customHeight="false" outlineLevel="0" collapsed="false">
      <c r="A54" s="19" t="s">
        <v>780</v>
      </c>
      <c r="B54" s="20" t="str">
        <f aca="false">IFERROR(INDEX('Daftar Fitur'!$B$2:$B$98,C54),"")</f>
        <v>Pembeli</v>
      </c>
      <c r="C54" s="19" t="n">
        <f aca="false">IFERROR(MATCH(D54,'Daftar Fitur'!$D$2:$D$98,0),"")</f>
        <v>33</v>
      </c>
      <c r="D54" s="21" t="s">
        <v>216</v>
      </c>
      <c r="E54" s="20" t="s">
        <v>781</v>
      </c>
      <c r="F54" s="19" t="s">
        <v>40</v>
      </c>
      <c r="G54" s="19" t="s">
        <v>36</v>
      </c>
      <c r="H54" s="20" t="s">
        <v>574</v>
      </c>
      <c r="I54" s="20" t="s">
        <v>782</v>
      </c>
      <c r="J54" s="20" t="s">
        <v>563</v>
      </c>
      <c r="K54" s="20" t="s">
        <v>783</v>
      </c>
      <c r="L54" s="25"/>
      <c r="M54" s="22" t="s">
        <v>29</v>
      </c>
      <c r="N54" s="25"/>
      <c r="O54" s="26"/>
      <c r="P54" s="25"/>
    </row>
    <row r="55" customFormat="false" ht="35.05" hidden="false" customHeight="false" outlineLevel="0" collapsed="false">
      <c r="A55" s="19" t="s">
        <v>784</v>
      </c>
      <c r="B55" s="20" t="str">
        <f aca="false">IFERROR(INDEX('Daftar Fitur'!$B$2:$B$98,C55),"")</f>
        <v>Pembeli</v>
      </c>
      <c r="C55" s="19" t="n">
        <f aca="false">IFERROR(MATCH(D55,'Daftar Fitur'!$D$2:$D$98,0),"")</f>
        <v>33</v>
      </c>
      <c r="D55" s="21" t="s">
        <v>216</v>
      </c>
      <c r="E55" s="20" t="s">
        <v>785</v>
      </c>
      <c r="F55" s="19" t="s">
        <v>41</v>
      </c>
      <c r="G55" s="19" t="s">
        <v>37</v>
      </c>
      <c r="H55" s="20" t="s">
        <v>786</v>
      </c>
      <c r="I55" s="20" t="s">
        <v>787</v>
      </c>
      <c r="J55" s="20" t="s">
        <v>563</v>
      </c>
      <c r="K55" s="20" t="s">
        <v>788</v>
      </c>
      <c r="L55" s="25"/>
      <c r="M55" s="22" t="s">
        <v>29</v>
      </c>
      <c r="N55" s="25"/>
      <c r="O55" s="26"/>
      <c r="P55" s="25"/>
    </row>
    <row r="56" customFormat="false" ht="23.85" hidden="false" customHeight="false" outlineLevel="0" collapsed="false">
      <c r="A56" s="19" t="s">
        <v>789</v>
      </c>
      <c r="B56" s="20" t="str">
        <f aca="false">IFERROR(INDEX('Daftar Fitur'!$B$2:$B$98,C56),"")</f>
        <v>Pembeli</v>
      </c>
      <c r="C56" s="19" t="n">
        <f aca="false">IFERROR(MATCH(D56,'Daftar Fitur'!$D$2:$D$98,0),"")</f>
        <v>34</v>
      </c>
      <c r="D56" s="21" t="s">
        <v>221</v>
      </c>
      <c r="E56" s="20" t="s">
        <v>671</v>
      </c>
      <c r="F56" s="19" t="s">
        <v>40</v>
      </c>
      <c r="G56" s="19" t="s">
        <v>37</v>
      </c>
      <c r="H56" s="20" t="s">
        <v>790</v>
      </c>
      <c r="I56" s="20" t="s">
        <v>791</v>
      </c>
      <c r="J56" s="20" t="s">
        <v>792</v>
      </c>
      <c r="K56" s="20" t="s">
        <v>793</v>
      </c>
      <c r="L56" s="25"/>
      <c r="M56" s="22" t="s">
        <v>29</v>
      </c>
      <c r="N56" s="25"/>
      <c r="O56" s="26"/>
      <c r="P56" s="25"/>
    </row>
    <row r="57" customFormat="false" ht="23.85" hidden="false" customHeight="false" outlineLevel="0" collapsed="false">
      <c r="A57" s="19" t="s">
        <v>794</v>
      </c>
      <c r="B57" s="20" t="str">
        <f aca="false">IFERROR(INDEX('Daftar Fitur'!$B$2:$B$98,C57),"")</f>
        <v>Pembeli</v>
      </c>
      <c r="C57" s="19" t="n">
        <f aca="false">IFERROR(MATCH(D57,'Daftar Fitur'!$D$2:$D$98,0),"")</f>
        <v>35</v>
      </c>
      <c r="D57" s="21" t="s">
        <v>225</v>
      </c>
      <c r="E57" s="20" t="s">
        <v>795</v>
      </c>
      <c r="F57" s="19" t="s">
        <v>40</v>
      </c>
      <c r="G57" s="19" t="s">
        <v>37</v>
      </c>
      <c r="H57" s="20" t="s">
        <v>796</v>
      </c>
      <c r="I57" s="20" t="s">
        <v>797</v>
      </c>
      <c r="J57" s="20" t="s">
        <v>563</v>
      </c>
      <c r="K57" s="20" t="s">
        <v>798</v>
      </c>
      <c r="L57" s="25"/>
      <c r="M57" s="22" t="s">
        <v>29</v>
      </c>
      <c r="N57" s="25"/>
      <c r="O57" s="26"/>
      <c r="P57" s="25"/>
    </row>
    <row r="58" customFormat="false" ht="23.85" hidden="false" customHeight="false" outlineLevel="0" collapsed="false">
      <c r="A58" s="19" t="s">
        <v>799</v>
      </c>
      <c r="B58" s="20" t="str">
        <f aca="false">IFERROR(INDEX('Daftar Fitur'!$B$2:$B$98,C58),"")</f>
        <v>Pembeli</v>
      </c>
      <c r="C58" s="19" t="n">
        <f aca="false">IFERROR(MATCH(D58,'Daftar Fitur'!$D$2:$D$98,0),"")</f>
        <v>35</v>
      </c>
      <c r="D58" s="21" t="s">
        <v>225</v>
      </c>
      <c r="E58" s="20" t="s">
        <v>800</v>
      </c>
      <c r="F58" s="19" t="s">
        <v>40</v>
      </c>
      <c r="G58" s="19" t="s">
        <v>38</v>
      </c>
      <c r="H58" s="20" t="s">
        <v>563</v>
      </c>
      <c r="I58" s="20" t="s">
        <v>801</v>
      </c>
      <c r="J58" s="20" t="s">
        <v>563</v>
      </c>
      <c r="K58" s="20" t="s">
        <v>802</v>
      </c>
      <c r="L58" s="25"/>
      <c r="M58" s="22" t="s">
        <v>29</v>
      </c>
      <c r="N58" s="25"/>
      <c r="O58" s="26"/>
      <c r="P58" s="25"/>
    </row>
    <row r="59" customFormat="false" ht="35.05" hidden="false" customHeight="false" outlineLevel="0" collapsed="false">
      <c r="A59" s="19" t="s">
        <v>803</v>
      </c>
      <c r="B59" s="20" t="str">
        <f aca="false">IFERROR(INDEX('Daftar Fitur'!$B$2:$B$98,C59),"")</f>
        <v>Pembeli</v>
      </c>
      <c r="C59" s="19" t="n">
        <f aca="false">IFERROR(MATCH(D59,'Daftar Fitur'!$D$2:$D$98,0),"")</f>
        <v>36</v>
      </c>
      <c r="D59" s="21" t="s">
        <v>229</v>
      </c>
      <c r="E59" s="20" t="s">
        <v>804</v>
      </c>
      <c r="F59" s="19" t="s">
        <v>40</v>
      </c>
      <c r="G59" s="19" t="s">
        <v>38</v>
      </c>
      <c r="H59" s="20" t="s">
        <v>563</v>
      </c>
      <c r="I59" s="20" t="s">
        <v>805</v>
      </c>
      <c r="J59" s="20" t="s">
        <v>563</v>
      </c>
      <c r="K59" s="20" t="s">
        <v>806</v>
      </c>
      <c r="L59" s="25"/>
      <c r="M59" s="22" t="s">
        <v>29</v>
      </c>
      <c r="N59" s="25"/>
      <c r="O59" s="26"/>
      <c r="P59" s="25"/>
    </row>
    <row r="60" customFormat="false" ht="35.05" hidden="false" customHeight="false" outlineLevel="0" collapsed="false">
      <c r="A60" s="19" t="s">
        <v>807</v>
      </c>
      <c r="B60" s="20" t="str">
        <f aca="false">IFERROR(INDEX('Daftar Fitur'!$B$2:$B$98,C60),"")</f>
        <v>Penjual / Pelaku UMKM</v>
      </c>
      <c r="C60" s="19" t="n">
        <f aca="false">IFERROR(MATCH(D60,'Daftar Fitur'!$D$2:$D$98,0),"")</f>
        <v>37</v>
      </c>
      <c r="D60" s="21" t="s">
        <v>234</v>
      </c>
      <c r="E60" s="20" t="s">
        <v>808</v>
      </c>
      <c r="F60" s="19" t="s">
        <v>40</v>
      </c>
      <c r="G60" s="19" t="s">
        <v>36</v>
      </c>
      <c r="H60" s="20" t="s">
        <v>809</v>
      </c>
      <c r="I60" s="20" t="s">
        <v>810</v>
      </c>
      <c r="J60" s="20" t="s">
        <v>811</v>
      </c>
      <c r="K60" s="20" t="s">
        <v>812</v>
      </c>
      <c r="L60" s="25"/>
      <c r="M60" s="22" t="s">
        <v>29</v>
      </c>
      <c r="N60" s="25"/>
      <c r="O60" s="26"/>
      <c r="P60" s="25"/>
    </row>
    <row r="61" customFormat="false" ht="23.85" hidden="false" customHeight="false" outlineLevel="0" collapsed="false">
      <c r="A61" s="19" t="s">
        <v>813</v>
      </c>
      <c r="B61" s="20" t="str">
        <f aca="false">IFERROR(INDEX('Daftar Fitur'!$B$2:$B$98,C61),"")</f>
        <v>Penjual / Pelaku UMKM</v>
      </c>
      <c r="C61" s="19" t="n">
        <f aca="false">IFERROR(MATCH(D61,'Daftar Fitur'!$D$2:$D$98,0),"")</f>
        <v>37</v>
      </c>
      <c r="D61" s="21" t="s">
        <v>234</v>
      </c>
      <c r="E61" s="20" t="s">
        <v>814</v>
      </c>
      <c r="F61" s="19" t="s">
        <v>41</v>
      </c>
      <c r="G61" s="19" t="s">
        <v>37</v>
      </c>
      <c r="H61" s="20" t="s">
        <v>563</v>
      </c>
      <c r="I61" s="20" t="s">
        <v>815</v>
      </c>
      <c r="J61" s="20" t="s">
        <v>563</v>
      </c>
      <c r="K61" s="20" t="s">
        <v>816</v>
      </c>
      <c r="L61" s="25"/>
      <c r="M61" s="22" t="s">
        <v>29</v>
      </c>
      <c r="N61" s="25"/>
      <c r="O61" s="26"/>
      <c r="P61" s="25"/>
    </row>
    <row r="62" customFormat="false" ht="35.05" hidden="false" customHeight="false" outlineLevel="0" collapsed="false">
      <c r="A62" s="19" t="s">
        <v>817</v>
      </c>
      <c r="B62" s="20" t="str">
        <f aca="false">IFERROR(INDEX('Daftar Fitur'!$B$2:$B$98,C62),"")</f>
        <v>Penjual / Pelaku UMKM</v>
      </c>
      <c r="C62" s="19" t="n">
        <f aca="false">IFERROR(MATCH(D62,'Daftar Fitur'!$D$2:$D$98,0),"")</f>
        <v>38</v>
      </c>
      <c r="D62" s="21" t="s">
        <v>238</v>
      </c>
      <c r="E62" s="20" t="s">
        <v>818</v>
      </c>
      <c r="F62" s="19" t="s">
        <v>40</v>
      </c>
      <c r="G62" s="19" t="s">
        <v>37</v>
      </c>
      <c r="H62" s="20" t="s">
        <v>819</v>
      </c>
      <c r="I62" s="20" t="s">
        <v>820</v>
      </c>
      <c r="J62" s="20" t="s">
        <v>563</v>
      </c>
      <c r="K62" s="20" t="s">
        <v>821</v>
      </c>
      <c r="L62" s="25"/>
      <c r="M62" s="22" t="s">
        <v>29</v>
      </c>
      <c r="N62" s="25"/>
      <c r="O62" s="26"/>
      <c r="P62" s="25"/>
    </row>
    <row r="63" customFormat="false" ht="23.85" hidden="false" customHeight="false" outlineLevel="0" collapsed="false">
      <c r="A63" s="19" t="s">
        <v>822</v>
      </c>
      <c r="B63" s="20" t="str">
        <f aca="false">IFERROR(INDEX('Daftar Fitur'!$B$2:$B$98,C63),"")</f>
        <v>Penjual / Pelaku UMKM</v>
      </c>
      <c r="C63" s="19" t="n">
        <f aca="false">IFERROR(MATCH(D63,'Daftar Fitur'!$D$2:$D$98,0),"")</f>
        <v>39</v>
      </c>
      <c r="D63" s="21" t="s">
        <v>242</v>
      </c>
      <c r="E63" s="20" t="s">
        <v>823</v>
      </c>
      <c r="F63" s="19" t="s">
        <v>40</v>
      </c>
      <c r="G63" s="19" t="s">
        <v>36</v>
      </c>
      <c r="H63" s="20" t="s">
        <v>819</v>
      </c>
      <c r="I63" s="20" t="s">
        <v>824</v>
      </c>
      <c r="J63" s="20" t="s">
        <v>563</v>
      </c>
      <c r="K63" s="20" t="s">
        <v>825</v>
      </c>
      <c r="L63" s="25"/>
      <c r="M63" s="22" t="s">
        <v>29</v>
      </c>
      <c r="N63" s="25"/>
      <c r="O63" s="26"/>
      <c r="P63" s="25"/>
    </row>
    <row r="64" customFormat="false" ht="23.85" hidden="false" customHeight="false" outlineLevel="0" collapsed="false">
      <c r="A64" s="19" t="s">
        <v>826</v>
      </c>
      <c r="B64" s="20" t="str">
        <f aca="false">IFERROR(INDEX('Daftar Fitur'!$B$2:$B$98,C64),"")</f>
        <v>Penjual / Pelaku UMKM</v>
      </c>
      <c r="C64" s="19" t="n">
        <f aca="false">IFERROR(MATCH(D64,'Daftar Fitur'!$D$2:$D$98,0),"")</f>
        <v>40</v>
      </c>
      <c r="D64" s="21" t="s">
        <v>246</v>
      </c>
      <c r="E64" s="20" t="s">
        <v>827</v>
      </c>
      <c r="F64" s="19" t="s">
        <v>40</v>
      </c>
      <c r="G64" s="19" t="s">
        <v>37</v>
      </c>
      <c r="H64" s="20" t="s">
        <v>828</v>
      </c>
      <c r="I64" s="20" t="s">
        <v>829</v>
      </c>
      <c r="J64" s="20" t="s">
        <v>563</v>
      </c>
      <c r="K64" s="20" t="s">
        <v>830</v>
      </c>
      <c r="L64" s="25"/>
      <c r="M64" s="22" t="s">
        <v>29</v>
      </c>
      <c r="N64" s="25"/>
      <c r="O64" s="26"/>
      <c r="P64" s="25"/>
    </row>
    <row r="65" customFormat="false" ht="35.05" hidden="false" customHeight="false" outlineLevel="0" collapsed="false">
      <c r="A65" s="19" t="s">
        <v>831</v>
      </c>
      <c r="B65" s="20" t="str">
        <f aca="false">IFERROR(INDEX('Daftar Fitur'!$B$2:$B$98,C65),"")</f>
        <v>Penjual / Pelaku UMKM</v>
      </c>
      <c r="C65" s="19" t="n">
        <f aca="false">IFERROR(MATCH(D65,'Daftar Fitur'!$D$2:$D$98,0),"")</f>
        <v>41</v>
      </c>
      <c r="D65" s="21" t="s">
        <v>250</v>
      </c>
      <c r="E65" s="20" t="s">
        <v>832</v>
      </c>
      <c r="F65" s="19" t="s">
        <v>40</v>
      </c>
      <c r="G65" s="19" t="s">
        <v>36</v>
      </c>
      <c r="H65" s="20" t="s">
        <v>819</v>
      </c>
      <c r="I65" s="20" t="s">
        <v>833</v>
      </c>
      <c r="J65" s="20" t="s">
        <v>834</v>
      </c>
      <c r="K65" s="20" t="s">
        <v>835</v>
      </c>
      <c r="L65" s="25"/>
      <c r="M65" s="22" t="s">
        <v>29</v>
      </c>
      <c r="N65" s="25"/>
      <c r="O65" s="26"/>
      <c r="P65" s="25"/>
    </row>
    <row r="66" customFormat="false" ht="23.85" hidden="false" customHeight="false" outlineLevel="0" collapsed="false">
      <c r="A66" s="19" t="s">
        <v>836</v>
      </c>
      <c r="B66" s="20" t="str">
        <f aca="false">IFERROR(INDEX('Daftar Fitur'!$B$2:$B$98,C66),"")</f>
        <v>Penjual / Pelaku UMKM</v>
      </c>
      <c r="C66" s="19" t="n">
        <f aca="false">IFERROR(MATCH(D66,'Daftar Fitur'!$D$2:$D$98,0),"")</f>
        <v>41</v>
      </c>
      <c r="D66" s="21" t="s">
        <v>250</v>
      </c>
      <c r="E66" s="20" t="s">
        <v>837</v>
      </c>
      <c r="F66" s="19" t="s">
        <v>43</v>
      </c>
      <c r="G66" s="19" t="s">
        <v>36</v>
      </c>
      <c r="H66" s="20" t="s">
        <v>838</v>
      </c>
      <c r="I66" s="20" t="s">
        <v>839</v>
      </c>
      <c r="J66" s="20" t="s">
        <v>563</v>
      </c>
      <c r="K66" s="20" t="s">
        <v>840</v>
      </c>
      <c r="L66" s="25"/>
      <c r="M66" s="22" t="s">
        <v>29</v>
      </c>
      <c r="N66" s="25"/>
      <c r="O66" s="26"/>
      <c r="P66" s="25"/>
    </row>
    <row r="67" customFormat="false" ht="35.05" hidden="false" customHeight="false" outlineLevel="0" collapsed="false">
      <c r="A67" s="19" t="s">
        <v>841</v>
      </c>
      <c r="B67" s="20" t="str">
        <f aca="false">IFERROR(INDEX('Daftar Fitur'!$B$2:$B$98,C67),"")</f>
        <v>Penjual / Pelaku UMKM</v>
      </c>
      <c r="C67" s="19" t="n">
        <f aca="false">IFERROR(MATCH(D67,'Daftar Fitur'!$D$2:$D$98,0),"")</f>
        <v>42</v>
      </c>
      <c r="D67" s="21" t="s">
        <v>254</v>
      </c>
      <c r="E67" s="20" t="s">
        <v>842</v>
      </c>
      <c r="F67" s="19" t="s">
        <v>40</v>
      </c>
      <c r="G67" s="19" t="s">
        <v>36</v>
      </c>
      <c r="H67" s="20" t="s">
        <v>819</v>
      </c>
      <c r="I67" s="20" t="s">
        <v>843</v>
      </c>
      <c r="J67" s="20" t="s">
        <v>844</v>
      </c>
      <c r="K67" s="20" t="s">
        <v>845</v>
      </c>
      <c r="L67" s="25"/>
      <c r="M67" s="22" t="s">
        <v>29</v>
      </c>
      <c r="N67" s="25"/>
      <c r="O67" s="26"/>
      <c r="P67" s="25"/>
    </row>
    <row r="68" customFormat="false" ht="23.85" hidden="false" customHeight="false" outlineLevel="0" collapsed="false">
      <c r="A68" s="19" t="s">
        <v>846</v>
      </c>
      <c r="B68" s="20" t="str">
        <f aca="false">IFERROR(INDEX('Daftar Fitur'!$B$2:$B$98,C68),"")</f>
        <v>Penjual / Pelaku UMKM</v>
      </c>
      <c r="C68" s="19" t="n">
        <f aca="false">IFERROR(MATCH(D68,'Daftar Fitur'!$D$2:$D$98,0),"")</f>
        <v>42</v>
      </c>
      <c r="D68" s="21" t="s">
        <v>254</v>
      </c>
      <c r="E68" s="20" t="s">
        <v>847</v>
      </c>
      <c r="F68" s="19" t="s">
        <v>42</v>
      </c>
      <c r="G68" s="19" t="s">
        <v>38</v>
      </c>
      <c r="H68" s="20" t="s">
        <v>819</v>
      </c>
      <c r="I68" s="20" t="s">
        <v>848</v>
      </c>
      <c r="J68" s="20" t="s">
        <v>563</v>
      </c>
      <c r="K68" s="20" t="s">
        <v>849</v>
      </c>
      <c r="L68" s="25"/>
      <c r="M68" s="22" t="s">
        <v>29</v>
      </c>
      <c r="N68" s="25"/>
      <c r="O68" s="26"/>
      <c r="P68" s="25"/>
    </row>
    <row r="69" customFormat="false" ht="35.05" hidden="false" customHeight="false" outlineLevel="0" collapsed="false">
      <c r="A69" s="19" t="s">
        <v>850</v>
      </c>
      <c r="B69" s="20" t="str">
        <f aca="false">IFERROR(INDEX('Daftar Fitur'!$B$2:$B$98,C69),"")</f>
        <v>Penjual / Pelaku UMKM</v>
      </c>
      <c r="C69" s="19" t="n">
        <f aca="false">IFERROR(MATCH(D69,'Daftar Fitur'!$D$2:$D$98,0),"")</f>
        <v>43</v>
      </c>
      <c r="D69" s="21" t="s">
        <v>259</v>
      </c>
      <c r="E69" s="20" t="s">
        <v>851</v>
      </c>
      <c r="F69" s="19" t="s">
        <v>40</v>
      </c>
      <c r="G69" s="19" t="s">
        <v>36</v>
      </c>
      <c r="H69" s="20" t="s">
        <v>819</v>
      </c>
      <c r="I69" s="20" t="s">
        <v>852</v>
      </c>
      <c r="J69" s="20" t="s">
        <v>563</v>
      </c>
      <c r="K69" s="20" t="s">
        <v>853</v>
      </c>
      <c r="L69" s="25"/>
      <c r="M69" s="22" t="s">
        <v>29</v>
      </c>
      <c r="N69" s="25"/>
      <c r="O69" s="26"/>
      <c r="P69" s="25"/>
    </row>
    <row r="70" customFormat="false" ht="23.85" hidden="false" customHeight="false" outlineLevel="0" collapsed="false">
      <c r="A70" s="19" t="s">
        <v>854</v>
      </c>
      <c r="B70" s="20" t="str">
        <f aca="false">IFERROR(INDEX('Daftar Fitur'!$B$2:$B$98,C70),"")</f>
        <v>Penjual / Pelaku UMKM</v>
      </c>
      <c r="C70" s="19" t="n">
        <f aca="false">IFERROR(MATCH(D70,'Daftar Fitur'!$D$2:$D$98,0),"")</f>
        <v>44</v>
      </c>
      <c r="D70" s="21" t="s">
        <v>263</v>
      </c>
      <c r="E70" s="20" t="s">
        <v>855</v>
      </c>
      <c r="F70" s="19" t="s">
        <v>40</v>
      </c>
      <c r="G70" s="19" t="s">
        <v>37</v>
      </c>
      <c r="H70" s="20" t="s">
        <v>819</v>
      </c>
      <c r="I70" s="20" t="s">
        <v>856</v>
      </c>
      <c r="J70" s="20" t="s">
        <v>563</v>
      </c>
      <c r="K70" s="20" t="s">
        <v>857</v>
      </c>
      <c r="L70" s="25"/>
      <c r="M70" s="22" t="s">
        <v>29</v>
      </c>
      <c r="N70" s="25"/>
      <c r="O70" s="26"/>
      <c r="P70" s="25"/>
    </row>
    <row r="71" customFormat="false" ht="23.85" hidden="false" customHeight="false" outlineLevel="0" collapsed="false">
      <c r="A71" s="19" t="s">
        <v>858</v>
      </c>
      <c r="B71" s="20" t="str">
        <f aca="false">IFERROR(INDEX('Daftar Fitur'!$B$2:$B$98,C71),"")</f>
        <v>Penjual / Pelaku UMKM</v>
      </c>
      <c r="C71" s="19" t="n">
        <f aca="false">IFERROR(MATCH(D71,'Daftar Fitur'!$D$2:$D$98,0),"")</f>
        <v>45</v>
      </c>
      <c r="D71" s="21" t="s">
        <v>267</v>
      </c>
      <c r="E71" s="20" t="s">
        <v>859</v>
      </c>
      <c r="F71" s="19" t="s">
        <v>40</v>
      </c>
      <c r="G71" s="19" t="s">
        <v>36</v>
      </c>
      <c r="H71" s="20" t="s">
        <v>860</v>
      </c>
      <c r="I71" s="20" t="s">
        <v>861</v>
      </c>
      <c r="J71" s="20" t="s">
        <v>563</v>
      </c>
      <c r="K71" s="20" t="s">
        <v>862</v>
      </c>
      <c r="L71" s="25"/>
      <c r="M71" s="22" t="s">
        <v>29</v>
      </c>
      <c r="N71" s="25"/>
      <c r="O71" s="26"/>
      <c r="P71" s="25"/>
    </row>
    <row r="72" customFormat="false" ht="23.85" hidden="false" customHeight="false" outlineLevel="0" collapsed="false">
      <c r="A72" s="19" t="s">
        <v>863</v>
      </c>
      <c r="B72" s="20" t="str">
        <f aca="false">IFERROR(INDEX('Daftar Fitur'!$B$2:$B$98,C72),"")</f>
        <v>Penjual / Pelaku UMKM</v>
      </c>
      <c r="C72" s="19" t="n">
        <f aca="false">IFERROR(MATCH(D72,'Daftar Fitur'!$D$2:$D$98,0),"")</f>
        <v>46</v>
      </c>
      <c r="D72" s="21" t="s">
        <v>271</v>
      </c>
      <c r="E72" s="20" t="s">
        <v>864</v>
      </c>
      <c r="F72" s="19" t="s">
        <v>40</v>
      </c>
      <c r="G72" s="19" t="s">
        <v>38</v>
      </c>
      <c r="H72" s="20" t="s">
        <v>819</v>
      </c>
      <c r="I72" s="20" t="s">
        <v>865</v>
      </c>
      <c r="J72" s="20" t="s">
        <v>563</v>
      </c>
      <c r="K72" s="20" t="s">
        <v>866</v>
      </c>
      <c r="L72" s="25"/>
      <c r="M72" s="22" t="s">
        <v>29</v>
      </c>
      <c r="N72" s="25"/>
      <c r="O72" s="26"/>
      <c r="P72" s="25"/>
    </row>
    <row r="73" customFormat="false" ht="23.85" hidden="false" customHeight="false" outlineLevel="0" collapsed="false">
      <c r="A73" s="19" t="s">
        <v>867</v>
      </c>
      <c r="B73" s="20" t="str">
        <f aca="false">IFERROR(INDEX('Daftar Fitur'!$B$2:$B$98,C73),"")</f>
        <v>Penjual / Pelaku UMKM</v>
      </c>
      <c r="C73" s="19" t="n">
        <f aca="false">IFERROR(MATCH(D73,'Daftar Fitur'!$D$2:$D$98,0),"")</f>
        <v>47</v>
      </c>
      <c r="D73" s="21" t="s">
        <v>275</v>
      </c>
      <c r="E73" s="20" t="s">
        <v>868</v>
      </c>
      <c r="F73" s="19" t="s">
        <v>40</v>
      </c>
      <c r="G73" s="19" t="s">
        <v>37</v>
      </c>
      <c r="H73" s="20" t="s">
        <v>869</v>
      </c>
      <c r="I73" s="20" t="s">
        <v>870</v>
      </c>
      <c r="J73" s="20" t="s">
        <v>563</v>
      </c>
      <c r="K73" s="20" t="s">
        <v>871</v>
      </c>
      <c r="L73" s="25"/>
      <c r="M73" s="22" t="s">
        <v>29</v>
      </c>
      <c r="N73" s="25"/>
      <c r="O73" s="26"/>
      <c r="P73" s="25"/>
    </row>
    <row r="74" customFormat="false" ht="23.85" hidden="false" customHeight="false" outlineLevel="0" collapsed="false">
      <c r="A74" s="19" t="s">
        <v>872</v>
      </c>
      <c r="B74" s="20" t="str">
        <f aca="false">IFERROR(INDEX('Daftar Fitur'!$B$2:$B$98,C74),"")</f>
        <v>Penjual / Pelaku UMKM</v>
      </c>
      <c r="C74" s="19" t="n">
        <f aca="false">IFERROR(MATCH(D74,'Daftar Fitur'!$D$2:$D$98,0),"")</f>
        <v>48</v>
      </c>
      <c r="D74" s="21" t="s">
        <v>279</v>
      </c>
      <c r="E74" s="20" t="s">
        <v>873</v>
      </c>
      <c r="F74" s="19" t="s">
        <v>42</v>
      </c>
      <c r="G74" s="19" t="s">
        <v>37</v>
      </c>
      <c r="H74" s="20" t="s">
        <v>819</v>
      </c>
      <c r="I74" s="20" t="s">
        <v>874</v>
      </c>
      <c r="J74" s="20" t="s">
        <v>875</v>
      </c>
      <c r="K74" s="20" t="s">
        <v>876</v>
      </c>
      <c r="L74" s="25"/>
      <c r="M74" s="22" t="s">
        <v>29</v>
      </c>
      <c r="N74" s="25"/>
      <c r="O74" s="26"/>
      <c r="P74" s="25"/>
    </row>
    <row r="75" customFormat="false" ht="23.85" hidden="false" customHeight="false" outlineLevel="0" collapsed="false">
      <c r="A75" s="19" t="s">
        <v>877</v>
      </c>
      <c r="B75" s="20" t="str">
        <f aca="false">IFERROR(INDEX('Daftar Fitur'!$B$2:$B$98,C75),"")</f>
        <v>Penjual / Pelaku UMKM</v>
      </c>
      <c r="C75" s="19" t="n">
        <f aca="false">IFERROR(MATCH(D75,'Daftar Fitur'!$D$2:$D$98,0),"")</f>
        <v>49</v>
      </c>
      <c r="D75" s="21" t="s">
        <v>283</v>
      </c>
      <c r="E75" s="20" t="s">
        <v>878</v>
      </c>
      <c r="F75" s="19" t="s">
        <v>40</v>
      </c>
      <c r="G75" s="19" t="s">
        <v>37</v>
      </c>
      <c r="H75" s="20" t="s">
        <v>879</v>
      </c>
      <c r="I75" s="20" t="s">
        <v>880</v>
      </c>
      <c r="J75" s="20" t="s">
        <v>563</v>
      </c>
      <c r="K75" s="20" t="s">
        <v>881</v>
      </c>
      <c r="L75" s="25"/>
      <c r="M75" s="22" t="s">
        <v>29</v>
      </c>
      <c r="N75" s="25"/>
      <c r="O75" s="26"/>
      <c r="P75" s="25"/>
    </row>
    <row r="76" customFormat="false" ht="35.05" hidden="false" customHeight="false" outlineLevel="0" collapsed="false">
      <c r="A76" s="19" t="s">
        <v>882</v>
      </c>
      <c r="B76" s="20" t="str">
        <f aca="false">IFERROR(INDEX('Daftar Fitur'!$B$2:$B$98,C76),"")</f>
        <v>Penjual / Pelaku UMKM</v>
      </c>
      <c r="C76" s="19" t="n">
        <f aca="false">IFERROR(MATCH(D76,'Daftar Fitur'!$D$2:$D$98,0),"")</f>
        <v>50</v>
      </c>
      <c r="D76" s="21" t="s">
        <v>287</v>
      </c>
      <c r="E76" s="20" t="s">
        <v>883</v>
      </c>
      <c r="F76" s="19" t="s">
        <v>40</v>
      </c>
      <c r="G76" s="19" t="s">
        <v>36</v>
      </c>
      <c r="H76" s="20" t="s">
        <v>819</v>
      </c>
      <c r="I76" s="20" t="s">
        <v>884</v>
      </c>
      <c r="J76" s="20" t="s">
        <v>885</v>
      </c>
      <c r="K76" s="20" t="s">
        <v>886</v>
      </c>
      <c r="L76" s="25"/>
      <c r="M76" s="22" t="s">
        <v>29</v>
      </c>
      <c r="N76" s="25"/>
      <c r="O76" s="26"/>
      <c r="P76" s="25"/>
    </row>
    <row r="77" customFormat="false" ht="23.85" hidden="false" customHeight="false" outlineLevel="0" collapsed="false">
      <c r="A77" s="19" t="s">
        <v>887</v>
      </c>
      <c r="B77" s="20" t="str">
        <f aca="false">IFERROR(INDEX('Daftar Fitur'!$B$2:$B$98,C77),"")</f>
        <v>Penjual / Pelaku UMKM</v>
      </c>
      <c r="C77" s="19" t="n">
        <f aca="false">IFERROR(MATCH(D77,'Daftar Fitur'!$D$2:$D$98,0),"")</f>
        <v>50</v>
      </c>
      <c r="D77" s="21" t="s">
        <v>287</v>
      </c>
      <c r="E77" s="20" t="s">
        <v>888</v>
      </c>
      <c r="F77" s="19" t="s">
        <v>41</v>
      </c>
      <c r="G77" s="19" t="s">
        <v>37</v>
      </c>
      <c r="H77" s="20" t="s">
        <v>819</v>
      </c>
      <c r="I77" s="20" t="s">
        <v>889</v>
      </c>
      <c r="J77" s="20" t="s">
        <v>890</v>
      </c>
      <c r="K77" s="20" t="s">
        <v>891</v>
      </c>
      <c r="L77" s="25"/>
      <c r="M77" s="22" t="s">
        <v>29</v>
      </c>
      <c r="N77" s="25"/>
      <c r="O77" s="26"/>
      <c r="P77" s="25"/>
    </row>
    <row r="78" customFormat="false" ht="23.85" hidden="false" customHeight="false" outlineLevel="0" collapsed="false">
      <c r="A78" s="19" t="s">
        <v>892</v>
      </c>
      <c r="B78" s="20" t="str">
        <f aca="false">IFERROR(INDEX('Daftar Fitur'!$B$2:$B$98,C78),"")</f>
        <v>Penjual / Pelaku UMKM</v>
      </c>
      <c r="C78" s="19" t="n">
        <f aca="false">IFERROR(MATCH(D78,'Daftar Fitur'!$D$2:$D$98,0),"")</f>
        <v>50</v>
      </c>
      <c r="D78" s="21" t="s">
        <v>287</v>
      </c>
      <c r="E78" s="20" t="s">
        <v>893</v>
      </c>
      <c r="F78" s="19" t="s">
        <v>40</v>
      </c>
      <c r="G78" s="19" t="s">
        <v>38</v>
      </c>
      <c r="H78" s="20" t="s">
        <v>819</v>
      </c>
      <c r="I78" s="20" t="s">
        <v>894</v>
      </c>
      <c r="J78" s="20" t="s">
        <v>563</v>
      </c>
      <c r="K78" s="20" t="s">
        <v>895</v>
      </c>
      <c r="L78" s="25"/>
      <c r="M78" s="22" t="s">
        <v>29</v>
      </c>
      <c r="N78" s="25"/>
      <c r="O78" s="26"/>
      <c r="P78" s="25"/>
    </row>
    <row r="79" customFormat="false" ht="23.85" hidden="false" customHeight="false" outlineLevel="0" collapsed="false">
      <c r="A79" s="19" t="s">
        <v>896</v>
      </c>
      <c r="B79" s="20" t="str">
        <f aca="false">IFERROR(INDEX('Daftar Fitur'!$B$2:$B$98,C79),"")</f>
        <v>Penjual / Pelaku UMKM</v>
      </c>
      <c r="C79" s="19" t="n">
        <f aca="false">IFERROR(MATCH(D79,'Daftar Fitur'!$D$2:$D$98,0),"")</f>
        <v>51</v>
      </c>
      <c r="D79" s="21" t="s">
        <v>291</v>
      </c>
      <c r="E79" s="20" t="s">
        <v>897</v>
      </c>
      <c r="F79" s="19" t="s">
        <v>40</v>
      </c>
      <c r="G79" s="19" t="s">
        <v>36</v>
      </c>
      <c r="H79" s="20" t="s">
        <v>898</v>
      </c>
      <c r="I79" s="20" t="s">
        <v>899</v>
      </c>
      <c r="J79" s="20" t="s">
        <v>563</v>
      </c>
      <c r="K79" s="20" t="s">
        <v>900</v>
      </c>
      <c r="L79" s="25"/>
      <c r="M79" s="22" t="s">
        <v>29</v>
      </c>
      <c r="N79" s="25"/>
      <c r="O79" s="26"/>
      <c r="P79" s="25"/>
    </row>
    <row r="80" customFormat="false" ht="23.85" hidden="false" customHeight="false" outlineLevel="0" collapsed="false">
      <c r="A80" s="19" t="s">
        <v>901</v>
      </c>
      <c r="B80" s="20" t="str">
        <f aca="false">IFERROR(INDEX('Daftar Fitur'!$B$2:$B$98,C80),"")</f>
        <v>Penjual / Pelaku UMKM</v>
      </c>
      <c r="C80" s="19" t="n">
        <f aca="false">IFERROR(MATCH(D80,'Daftar Fitur'!$D$2:$D$98,0),"")</f>
        <v>52</v>
      </c>
      <c r="D80" s="21" t="s">
        <v>295</v>
      </c>
      <c r="E80" s="20" t="s">
        <v>902</v>
      </c>
      <c r="F80" s="19" t="s">
        <v>40</v>
      </c>
      <c r="G80" s="19" t="s">
        <v>37</v>
      </c>
      <c r="H80" s="20" t="s">
        <v>819</v>
      </c>
      <c r="I80" s="20" t="s">
        <v>903</v>
      </c>
      <c r="J80" s="20" t="s">
        <v>563</v>
      </c>
      <c r="K80" s="20" t="s">
        <v>904</v>
      </c>
      <c r="L80" s="25"/>
      <c r="M80" s="22" t="s">
        <v>29</v>
      </c>
      <c r="N80" s="25"/>
      <c r="O80" s="26"/>
      <c r="P80" s="25"/>
    </row>
    <row r="81" customFormat="false" ht="35.05" hidden="false" customHeight="false" outlineLevel="0" collapsed="false">
      <c r="A81" s="19" t="s">
        <v>905</v>
      </c>
      <c r="B81" s="20" t="str">
        <f aca="false">IFERROR(INDEX('Daftar Fitur'!$B$2:$B$98,C81),"")</f>
        <v>Penjual / Pelaku UMKM</v>
      </c>
      <c r="C81" s="19" t="n">
        <f aca="false">IFERROR(MATCH(D81,'Daftar Fitur'!$D$2:$D$98,0),"")</f>
        <v>53</v>
      </c>
      <c r="D81" s="21" t="s">
        <v>300</v>
      </c>
      <c r="E81" s="20" t="s">
        <v>906</v>
      </c>
      <c r="F81" s="19" t="s">
        <v>40</v>
      </c>
      <c r="G81" s="19" t="s">
        <v>36</v>
      </c>
      <c r="H81" s="20" t="s">
        <v>907</v>
      </c>
      <c r="I81" s="20" t="s">
        <v>908</v>
      </c>
      <c r="J81" s="20" t="s">
        <v>563</v>
      </c>
      <c r="K81" s="20" t="s">
        <v>909</v>
      </c>
      <c r="L81" s="25"/>
      <c r="M81" s="22" t="s">
        <v>29</v>
      </c>
      <c r="N81" s="25"/>
      <c r="O81" s="26"/>
      <c r="P81" s="25"/>
    </row>
    <row r="82" customFormat="false" ht="35.05" hidden="false" customHeight="false" outlineLevel="0" collapsed="false">
      <c r="A82" s="19" t="s">
        <v>910</v>
      </c>
      <c r="B82" s="20" t="str">
        <f aca="false">IFERROR(INDEX('Daftar Fitur'!$B$2:$B$98,C82),"")</f>
        <v>Penjual / Pelaku UMKM</v>
      </c>
      <c r="C82" s="19" t="n">
        <f aca="false">IFERROR(MATCH(D82,'Daftar Fitur'!$D$2:$D$98,0),"")</f>
        <v>54</v>
      </c>
      <c r="D82" s="21" t="s">
        <v>304</v>
      </c>
      <c r="E82" s="20" t="s">
        <v>911</v>
      </c>
      <c r="F82" s="19" t="s">
        <v>40</v>
      </c>
      <c r="G82" s="19" t="s">
        <v>37</v>
      </c>
      <c r="H82" s="20" t="s">
        <v>912</v>
      </c>
      <c r="I82" s="20" t="s">
        <v>913</v>
      </c>
      <c r="J82" s="20" t="s">
        <v>563</v>
      </c>
      <c r="K82" s="20" t="s">
        <v>914</v>
      </c>
      <c r="L82" s="25"/>
      <c r="M82" s="22" t="s">
        <v>29</v>
      </c>
      <c r="N82" s="25"/>
      <c r="O82" s="26"/>
      <c r="P82" s="25"/>
    </row>
    <row r="83" customFormat="false" ht="23.85" hidden="false" customHeight="false" outlineLevel="0" collapsed="false">
      <c r="A83" s="19" t="s">
        <v>915</v>
      </c>
      <c r="B83" s="20" t="str">
        <f aca="false">IFERROR(INDEX('Daftar Fitur'!$B$2:$B$98,C83),"")</f>
        <v>Penjual / Pelaku UMKM</v>
      </c>
      <c r="C83" s="19" t="n">
        <f aca="false">IFERROR(MATCH(D83,'Daftar Fitur'!$D$2:$D$98,0),"")</f>
        <v>55</v>
      </c>
      <c r="D83" s="21" t="s">
        <v>308</v>
      </c>
      <c r="E83" s="20" t="s">
        <v>916</v>
      </c>
      <c r="F83" s="19" t="s">
        <v>40</v>
      </c>
      <c r="G83" s="19" t="s">
        <v>37</v>
      </c>
      <c r="H83" s="20" t="s">
        <v>819</v>
      </c>
      <c r="I83" s="20" t="s">
        <v>917</v>
      </c>
      <c r="J83" s="20" t="s">
        <v>563</v>
      </c>
      <c r="K83" s="20" t="s">
        <v>918</v>
      </c>
      <c r="L83" s="25"/>
      <c r="M83" s="22" t="s">
        <v>29</v>
      </c>
      <c r="N83" s="25"/>
      <c r="O83" s="26"/>
      <c r="P83" s="25"/>
    </row>
    <row r="84" customFormat="false" ht="23.85" hidden="false" customHeight="false" outlineLevel="0" collapsed="false">
      <c r="A84" s="19" t="s">
        <v>919</v>
      </c>
      <c r="B84" s="20" t="str">
        <f aca="false">IFERROR(INDEX('Daftar Fitur'!$B$2:$B$98,C84),"")</f>
        <v>Penjual / Pelaku UMKM</v>
      </c>
      <c r="C84" s="19" t="n">
        <f aca="false">IFERROR(MATCH(D84,'Daftar Fitur'!$D$2:$D$98,0),"")</f>
        <v>56</v>
      </c>
      <c r="D84" s="21" t="s">
        <v>312</v>
      </c>
      <c r="E84" s="20" t="s">
        <v>920</v>
      </c>
      <c r="F84" s="19" t="s">
        <v>42</v>
      </c>
      <c r="G84" s="19" t="s">
        <v>37</v>
      </c>
      <c r="H84" s="20" t="s">
        <v>921</v>
      </c>
      <c r="I84" s="20" t="s">
        <v>922</v>
      </c>
      <c r="J84" s="20" t="s">
        <v>563</v>
      </c>
      <c r="K84" s="20" t="s">
        <v>923</v>
      </c>
      <c r="L84" s="25"/>
      <c r="M84" s="22" t="s">
        <v>29</v>
      </c>
      <c r="N84" s="25"/>
      <c r="O84" s="26"/>
      <c r="P84" s="25"/>
    </row>
    <row r="85" customFormat="false" ht="23.85" hidden="false" customHeight="false" outlineLevel="0" collapsed="false">
      <c r="A85" s="19" t="s">
        <v>924</v>
      </c>
      <c r="B85" s="20" t="str">
        <f aca="false">IFERROR(INDEX('Daftar Fitur'!$B$2:$B$98,C85),"")</f>
        <v>Penjual / Pelaku UMKM</v>
      </c>
      <c r="C85" s="19" t="n">
        <f aca="false">IFERROR(MATCH(D85,'Daftar Fitur'!$D$2:$D$98,0),"")</f>
        <v>57</v>
      </c>
      <c r="D85" s="21" t="s">
        <v>316</v>
      </c>
      <c r="E85" s="20" t="s">
        <v>925</v>
      </c>
      <c r="F85" s="19" t="s">
        <v>40</v>
      </c>
      <c r="G85" s="19" t="s">
        <v>38</v>
      </c>
      <c r="H85" s="20" t="s">
        <v>926</v>
      </c>
      <c r="I85" s="20" t="s">
        <v>927</v>
      </c>
      <c r="J85" s="20" t="s">
        <v>563</v>
      </c>
      <c r="K85" s="20" t="s">
        <v>928</v>
      </c>
      <c r="L85" s="25"/>
      <c r="M85" s="22" t="s">
        <v>29</v>
      </c>
      <c r="N85" s="25"/>
      <c r="O85" s="26"/>
      <c r="P85" s="25"/>
    </row>
    <row r="86" customFormat="false" ht="23.85" hidden="false" customHeight="false" outlineLevel="0" collapsed="false">
      <c r="A86" s="19" t="s">
        <v>929</v>
      </c>
      <c r="B86" s="20" t="str">
        <f aca="false">IFERROR(INDEX('Daftar Fitur'!$B$2:$B$98,C86),"")</f>
        <v>Penjual / Pelaku UMKM</v>
      </c>
      <c r="C86" s="19" t="n">
        <f aca="false">IFERROR(MATCH(D86,'Daftar Fitur'!$D$2:$D$98,0),"")</f>
        <v>58</v>
      </c>
      <c r="D86" s="21" t="s">
        <v>320</v>
      </c>
      <c r="E86" s="20" t="s">
        <v>930</v>
      </c>
      <c r="F86" s="19" t="s">
        <v>40</v>
      </c>
      <c r="G86" s="19" t="s">
        <v>38</v>
      </c>
      <c r="H86" s="20" t="s">
        <v>931</v>
      </c>
      <c r="I86" s="20" t="s">
        <v>932</v>
      </c>
      <c r="J86" s="20" t="s">
        <v>563</v>
      </c>
      <c r="K86" s="20" t="s">
        <v>933</v>
      </c>
      <c r="L86" s="25"/>
      <c r="M86" s="22" t="s">
        <v>29</v>
      </c>
      <c r="N86" s="25"/>
      <c r="O86" s="26"/>
      <c r="P86" s="25"/>
    </row>
    <row r="87" customFormat="false" ht="23.85" hidden="false" customHeight="false" outlineLevel="0" collapsed="false">
      <c r="A87" s="19" t="s">
        <v>934</v>
      </c>
      <c r="B87" s="20" t="str">
        <f aca="false">IFERROR(INDEX('Daftar Fitur'!$B$2:$B$98,C87),"")</f>
        <v>Penjual / Pelaku UMKM</v>
      </c>
      <c r="C87" s="19" t="n">
        <f aca="false">IFERROR(MATCH(D87,'Daftar Fitur'!$D$2:$D$98,0),"")</f>
        <v>59</v>
      </c>
      <c r="D87" s="21" t="s">
        <v>324</v>
      </c>
      <c r="E87" s="20" t="s">
        <v>935</v>
      </c>
      <c r="F87" s="19" t="s">
        <v>40</v>
      </c>
      <c r="G87" s="19" t="s">
        <v>36</v>
      </c>
      <c r="H87" s="20" t="s">
        <v>757</v>
      </c>
      <c r="I87" s="20" t="s">
        <v>936</v>
      </c>
      <c r="J87" s="20" t="s">
        <v>937</v>
      </c>
      <c r="K87" s="20" t="s">
        <v>938</v>
      </c>
      <c r="L87" s="25"/>
      <c r="M87" s="22" t="s">
        <v>29</v>
      </c>
      <c r="N87" s="25"/>
      <c r="O87" s="26"/>
      <c r="P87" s="25"/>
    </row>
    <row r="88" customFormat="false" ht="23.85" hidden="false" customHeight="false" outlineLevel="0" collapsed="false">
      <c r="A88" s="19" t="s">
        <v>939</v>
      </c>
      <c r="B88" s="20" t="str">
        <f aca="false">IFERROR(INDEX('Daftar Fitur'!$B$2:$B$98,C88),"")</f>
        <v>Penjual / Pelaku UMKM</v>
      </c>
      <c r="C88" s="19" t="n">
        <f aca="false">IFERROR(MATCH(D88,'Daftar Fitur'!$D$2:$D$98,0),"")</f>
        <v>60</v>
      </c>
      <c r="D88" s="21" t="s">
        <v>328</v>
      </c>
      <c r="E88" s="20" t="s">
        <v>940</v>
      </c>
      <c r="F88" s="19" t="s">
        <v>40</v>
      </c>
      <c r="G88" s="19" t="s">
        <v>38</v>
      </c>
      <c r="H88" s="20" t="s">
        <v>941</v>
      </c>
      <c r="I88" s="20" t="s">
        <v>942</v>
      </c>
      <c r="J88" s="20" t="s">
        <v>563</v>
      </c>
      <c r="K88" s="20" t="s">
        <v>943</v>
      </c>
      <c r="L88" s="25"/>
      <c r="M88" s="22" t="s">
        <v>29</v>
      </c>
      <c r="N88" s="25"/>
      <c r="O88" s="26"/>
      <c r="P88" s="25"/>
    </row>
    <row r="89" customFormat="false" ht="35.05" hidden="false" customHeight="false" outlineLevel="0" collapsed="false">
      <c r="A89" s="19" t="s">
        <v>944</v>
      </c>
      <c r="B89" s="20" t="str">
        <f aca="false">IFERROR(INDEX('Daftar Fitur'!$B$2:$B$98,C89),"")</f>
        <v>Penjual / Pelaku UMKM</v>
      </c>
      <c r="C89" s="19" t="n">
        <f aca="false">IFERROR(MATCH(D89,'Daftar Fitur'!$D$2:$D$98,0),"")</f>
        <v>61</v>
      </c>
      <c r="D89" s="21" t="s">
        <v>332</v>
      </c>
      <c r="E89" s="20" t="s">
        <v>945</v>
      </c>
      <c r="F89" s="19" t="s">
        <v>40</v>
      </c>
      <c r="G89" s="19" t="s">
        <v>36</v>
      </c>
      <c r="H89" s="20" t="s">
        <v>946</v>
      </c>
      <c r="I89" s="20" t="s">
        <v>947</v>
      </c>
      <c r="J89" s="20" t="s">
        <v>948</v>
      </c>
      <c r="K89" s="20" t="s">
        <v>949</v>
      </c>
      <c r="L89" s="25"/>
      <c r="M89" s="22" t="s">
        <v>29</v>
      </c>
      <c r="N89" s="25"/>
      <c r="O89" s="26"/>
      <c r="P89" s="25"/>
    </row>
    <row r="90" customFormat="false" ht="35.05" hidden="false" customHeight="false" outlineLevel="0" collapsed="false">
      <c r="A90" s="19" t="s">
        <v>950</v>
      </c>
      <c r="B90" s="20" t="str">
        <f aca="false">IFERROR(INDEX('Daftar Fitur'!$B$2:$B$98,C90),"")</f>
        <v>Penjual / Pelaku UMKM</v>
      </c>
      <c r="C90" s="19" t="n">
        <f aca="false">IFERROR(MATCH(D90,'Daftar Fitur'!$D$2:$D$98,0),"")</f>
        <v>61</v>
      </c>
      <c r="D90" s="21" t="s">
        <v>332</v>
      </c>
      <c r="E90" s="20" t="s">
        <v>951</v>
      </c>
      <c r="F90" s="19" t="s">
        <v>41</v>
      </c>
      <c r="G90" s="19" t="s">
        <v>37</v>
      </c>
      <c r="H90" s="20" t="s">
        <v>952</v>
      </c>
      <c r="I90" s="20" t="s">
        <v>953</v>
      </c>
      <c r="J90" s="20" t="s">
        <v>563</v>
      </c>
      <c r="K90" s="20" t="s">
        <v>954</v>
      </c>
      <c r="L90" s="25"/>
      <c r="M90" s="22" t="s">
        <v>29</v>
      </c>
      <c r="N90" s="25"/>
      <c r="O90" s="26"/>
      <c r="P90" s="25"/>
    </row>
    <row r="91" customFormat="false" ht="35.05" hidden="false" customHeight="false" outlineLevel="0" collapsed="false">
      <c r="A91" s="19" t="s">
        <v>955</v>
      </c>
      <c r="B91" s="20" t="str">
        <f aca="false">IFERROR(INDEX('Daftar Fitur'!$B$2:$B$98,C91),"")</f>
        <v>Penjual / Pelaku UMKM</v>
      </c>
      <c r="C91" s="19" t="n">
        <f aca="false">IFERROR(MATCH(D91,'Daftar Fitur'!$D$2:$D$98,0),"")</f>
        <v>61</v>
      </c>
      <c r="D91" s="21" t="s">
        <v>332</v>
      </c>
      <c r="E91" s="20" t="s">
        <v>956</v>
      </c>
      <c r="F91" s="19" t="s">
        <v>40</v>
      </c>
      <c r="G91" s="19" t="s">
        <v>37</v>
      </c>
      <c r="H91" s="20" t="s">
        <v>957</v>
      </c>
      <c r="I91" s="20" t="s">
        <v>958</v>
      </c>
      <c r="J91" s="20" t="s">
        <v>959</v>
      </c>
      <c r="K91" s="20" t="s">
        <v>960</v>
      </c>
      <c r="L91" s="25"/>
      <c r="M91" s="22" t="s">
        <v>29</v>
      </c>
      <c r="N91" s="25"/>
      <c r="O91" s="26"/>
      <c r="P91" s="25"/>
    </row>
    <row r="92" customFormat="false" ht="23.85" hidden="false" customHeight="false" outlineLevel="0" collapsed="false">
      <c r="A92" s="19" t="s">
        <v>961</v>
      </c>
      <c r="B92" s="20" t="str">
        <f aca="false">IFERROR(INDEX('Daftar Fitur'!$B$2:$B$98,C92),"")</f>
        <v>Penjual / Pelaku UMKM</v>
      </c>
      <c r="C92" s="19" t="n">
        <f aca="false">IFERROR(MATCH(D92,'Daftar Fitur'!$D$2:$D$98,0),"")</f>
        <v>62</v>
      </c>
      <c r="D92" s="21" t="s">
        <v>336</v>
      </c>
      <c r="E92" s="20" t="s">
        <v>962</v>
      </c>
      <c r="F92" s="19" t="s">
        <v>40</v>
      </c>
      <c r="G92" s="19" t="s">
        <v>37</v>
      </c>
      <c r="H92" s="20" t="s">
        <v>963</v>
      </c>
      <c r="I92" s="20" t="s">
        <v>964</v>
      </c>
      <c r="J92" s="20" t="s">
        <v>563</v>
      </c>
      <c r="K92" s="20" t="s">
        <v>965</v>
      </c>
      <c r="L92" s="25"/>
      <c r="M92" s="22" t="s">
        <v>29</v>
      </c>
      <c r="N92" s="25"/>
      <c r="O92" s="26"/>
      <c r="P92" s="25"/>
    </row>
    <row r="93" customFormat="false" ht="23.85" hidden="false" customHeight="false" outlineLevel="0" collapsed="false">
      <c r="A93" s="19" t="s">
        <v>966</v>
      </c>
      <c r="B93" s="20" t="str">
        <f aca="false">IFERROR(INDEX('Daftar Fitur'!$B$2:$B$98,C93),"")</f>
        <v>Penjual / Pelaku UMKM</v>
      </c>
      <c r="C93" s="19" t="n">
        <f aca="false">IFERROR(MATCH(D93,'Daftar Fitur'!$D$2:$D$98,0),"")</f>
        <v>63</v>
      </c>
      <c r="D93" s="21" t="s">
        <v>340</v>
      </c>
      <c r="E93" s="20" t="s">
        <v>967</v>
      </c>
      <c r="F93" s="19" t="s">
        <v>40</v>
      </c>
      <c r="G93" s="19" t="s">
        <v>36</v>
      </c>
      <c r="H93" s="20" t="s">
        <v>574</v>
      </c>
      <c r="I93" s="20" t="s">
        <v>968</v>
      </c>
      <c r="J93" s="20" t="s">
        <v>563</v>
      </c>
      <c r="K93" s="20" t="s">
        <v>969</v>
      </c>
      <c r="L93" s="25"/>
      <c r="M93" s="22" t="s">
        <v>29</v>
      </c>
      <c r="N93" s="25"/>
      <c r="O93" s="26"/>
      <c r="P93" s="25"/>
    </row>
    <row r="94" customFormat="false" ht="23.85" hidden="false" customHeight="false" outlineLevel="0" collapsed="false">
      <c r="A94" s="19" t="s">
        <v>970</v>
      </c>
      <c r="B94" s="20" t="str">
        <f aca="false">IFERROR(INDEX('Daftar Fitur'!$B$2:$B$98,C94),"")</f>
        <v>Penjual / Pelaku UMKM</v>
      </c>
      <c r="C94" s="19" t="n">
        <f aca="false">IFERROR(MATCH(D94,'Daftar Fitur'!$D$2:$D$98,0),"")</f>
        <v>64</v>
      </c>
      <c r="D94" s="21" t="s">
        <v>345</v>
      </c>
      <c r="E94" s="20" t="s">
        <v>971</v>
      </c>
      <c r="F94" s="19" t="s">
        <v>40</v>
      </c>
      <c r="G94" s="19" t="s">
        <v>37</v>
      </c>
      <c r="H94" s="20" t="s">
        <v>972</v>
      </c>
      <c r="I94" s="20" t="s">
        <v>973</v>
      </c>
      <c r="J94" s="20" t="s">
        <v>563</v>
      </c>
      <c r="K94" s="20" t="s">
        <v>974</v>
      </c>
      <c r="L94" s="25"/>
      <c r="M94" s="22" t="s">
        <v>29</v>
      </c>
      <c r="N94" s="25"/>
      <c r="O94" s="26"/>
      <c r="P94" s="25"/>
    </row>
    <row r="95" customFormat="false" ht="23.85" hidden="false" customHeight="false" outlineLevel="0" collapsed="false">
      <c r="A95" s="19" t="s">
        <v>975</v>
      </c>
      <c r="B95" s="20" t="str">
        <f aca="false">IFERROR(INDEX('Daftar Fitur'!$B$2:$B$98,C95),"")</f>
        <v>Penjual / Pelaku UMKM</v>
      </c>
      <c r="C95" s="19" t="n">
        <f aca="false">IFERROR(MATCH(D95,'Daftar Fitur'!$D$2:$D$98,0),"")</f>
        <v>65</v>
      </c>
      <c r="D95" s="21" t="s">
        <v>349</v>
      </c>
      <c r="E95" s="20" t="s">
        <v>349</v>
      </c>
      <c r="F95" s="19" t="s">
        <v>40</v>
      </c>
      <c r="G95" s="19" t="s">
        <v>38</v>
      </c>
      <c r="H95" s="20" t="s">
        <v>976</v>
      </c>
      <c r="I95" s="20" t="s">
        <v>977</v>
      </c>
      <c r="J95" s="20" t="s">
        <v>563</v>
      </c>
      <c r="K95" s="20" t="s">
        <v>978</v>
      </c>
      <c r="L95" s="25"/>
      <c r="M95" s="22" t="s">
        <v>29</v>
      </c>
      <c r="N95" s="25"/>
      <c r="O95" s="26"/>
      <c r="P95" s="25"/>
    </row>
    <row r="96" customFormat="false" ht="23.85" hidden="false" customHeight="false" outlineLevel="0" collapsed="false">
      <c r="A96" s="19" t="s">
        <v>979</v>
      </c>
      <c r="B96" s="20" t="str">
        <f aca="false">IFERROR(INDEX('Daftar Fitur'!$B$2:$B$98,C96),"")</f>
        <v>Penjual / Pelaku UMKM</v>
      </c>
      <c r="C96" s="19" t="n">
        <f aca="false">IFERROR(MATCH(D96,'Daftar Fitur'!$D$2:$D$98,0),"")</f>
        <v>66</v>
      </c>
      <c r="D96" s="21" t="s">
        <v>353</v>
      </c>
      <c r="E96" s="20" t="s">
        <v>980</v>
      </c>
      <c r="F96" s="19" t="s">
        <v>40</v>
      </c>
      <c r="G96" s="19" t="s">
        <v>36</v>
      </c>
      <c r="H96" s="20" t="s">
        <v>981</v>
      </c>
      <c r="I96" s="20" t="s">
        <v>982</v>
      </c>
      <c r="J96" s="20" t="s">
        <v>563</v>
      </c>
      <c r="K96" s="20" t="s">
        <v>983</v>
      </c>
      <c r="L96" s="25"/>
      <c r="M96" s="22" t="s">
        <v>29</v>
      </c>
      <c r="N96" s="25"/>
      <c r="O96" s="26"/>
      <c r="P96" s="25"/>
    </row>
    <row r="97" customFormat="false" ht="23.85" hidden="false" customHeight="false" outlineLevel="0" collapsed="false">
      <c r="A97" s="19" t="s">
        <v>984</v>
      </c>
      <c r="B97" s="20" t="str">
        <f aca="false">IFERROR(INDEX('Daftar Fitur'!$B$2:$B$98,C97),"")</f>
        <v>Penjual / Pelaku UMKM</v>
      </c>
      <c r="C97" s="19" t="n">
        <f aca="false">IFERROR(MATCH(D97,'Daftar Fitur'!$D$2:$D$98,0),"")</f>
        <v>67</v>
      </c>
      <c r="D97" s="21" t="s">
        <v>357</v>
      </c>
      <c r="E97" s="20" t="s">
        <v>985</v>
      </c>
      <c r="F97" s="19" t="s">
        <v>40</v>
      </c>
      <c r="G97" s="19" t="s">
        <v>38</v>
      </c>
      <c r="H97" s="20" t="s">
        <v>819</v>
      </c>
      <c r="I97" s="20" t="s">
        <v>986</v>
      </c>
      <c r="J97" s="20" t="s">
        <v>563</v>
      </c>
      <c r="K97" s="20" t="s">
        <v>987</v>
      </c>
      <c r="L97" s="25"/>
      <c r="M97" s="22" t="s">
        <v>29</v>
      </c>
      <c r="N97" s="25"/>
      <c r="O97" s="26"/>
      <c r="P97" s="25"/>
    </row>
    <row r="98" customFormat="false" ht="23.85" hidden="false" customHeight="false" outlineLevel="0" collapsed="false">
      <c r="A98" s="19" t="s">
        <v>988</v>
      </c>
      <c r="B98" s="20" t="str">
        <f aca="false">IFERROR(INDEX('Daftar Fitur'!$B$2:$B$98,C98),"")</f>
        <v>Penjual / Pelaku UMKM</v>
      </c>
      <c r="C98" s="19" t="n">
        <f aca="false">IFERROR(MATCH(D98,'Daftar Fitur'!$D$2:$D$98,0),"")</f>
        <v>68</v>
      </c>
      <c r="D98" s="21" t="s">
        <v>362</v>
      </c>
      <c r="E98" s="20" t="s">
        <v>989</v>
      </c>
      <c r="F98" s="19" t="s">
        <v>40</v>
      </c>
      <c r="G98" s="19" t="s">
        <v>36</v>
      </c>
      <c r="H98" s="20" t="s">
        <v>990</v>
      </c>
      <c r="I98" s="20" t="s">
        <v>991</v>
      </c>
      <c r="J98" s="20" t="s">
        <v>563</v>
      </c>
      <c r="K98" s="20" t="s">
        <v>992</v>
      </c>
      <c r="L98" s="25"/>
      <c r="M98" s="22" t="s">
        <v>29</v>
      </c>
      <c r="N98" s="25"/>
      <c r="O98" s="26"/>
      <c r="P98" s="25"/>
    </row>
    <row r="99" customFormat="false" ht="35.05" hidden="false" customHeight="false" outlineLevel="0" collapsed="false">
      <c r="A99" s="19" t="s">
        <v>993</v>
      </c>
      <c r="B99" s="20" t="str">
        <f aca="false">IFERROR(INDEX('Daftar Fitur'!$B$2:$B$98,C99),"")</f>
        <v>Penjual / Pelaku UMKM</v>
      </c>
      <c r="C99" s="19" t="n">
        <f aca="false">IFERROR(MATCH(D99,'Daftar Fitur'!$D$2:$D$98,0),"")</f>
        <v>69</v>
      </c>
      <c r="D99" s="21" t="s">
        <v>366</v>
      </c>
      <c r="E99" s="20" t="s">
        <v>994</v>
      </c>
      <c r="F99" s="19" t="s">
        <v>40</v>
      </c>
      <c r="G99" s="19" t="s">
        <v>36</v>
      </c>
      <c r="H99" s="20" t="s">
        <v>819</v>
      </c>
      <c r="I99" s="20" t="s">
        <v>995</v>
      </c>
      <c r="J99" s="20" t="s">
        <v>563</v>
      </c>
      <c r="K99" s="20" t="s">
        <v>996</v>
      </c>
      <c r="L99" s="25"/>
      <c r="M99" s="22" t="s">
        <v>29</v>
      </c>
      <c r="N99" s="25"/>
      <c r="O99" s="26"/>
      <c r="P99" s="25"/>
    </row>
    <row r="100" customFormat="false" ht="23.85" hidden="false" customHeight="false" outlineLevel="0" collapsed="false">
      <c r="A100" s="19" t="s">
        <v>997</v>
      </c>
      <c r="B100" s="20" t="str">
        <f aca="false">IFERROR(INDEX('Daftar Fitur'!$B$2:$B$98,C100),"")</f>
        <v>Penjual / Pelaku UMKM</v>
      </c>
      <c r="C100" s="19" t="n">
        <f aca="false">IFERROR(MATCH(D100,'Daftar Fitur'!$D$2:$D$98,0),"")</f>
        <v>70</v>
      </c>
      <c r="D100" s="21" t="s">
        <v>370</v>
      </c>
      <c r="E100" s="20" t="s">
        <v>998</v>
      </c>
      <c r="F100" s="19" t="s">
        <v>40</v>
      </c>
      <c r="G100" s="19" t="s">
        <v>37</v>
      </c>
      <c r="H100" s="20" t="s">
        <v>999</v>
      </c>
      <c r="I100" s="20" t="s">
        <v>1000</v>
      </c>
      <c r="J100" s="20" t="s">
        <v>563</v>
      </c>
      <c r="K100" s="20" t="s">
        <v>1001</v>
      </c>
      <c r="L100" s="25"/>
      <c r="M100" s="22" t="s">
        <v>29</v>
      </c>
      <c r="N100" s="25"/>
      <c r="O100" s="26"/>
      <c r="P100" s="25"/>
    </row>
    <row r="101" customFormat="false" ht="23.85" hidden="false" customHeight="false" outlineLevel="0" collapsed="false">
      <c r="A101" s="19" t="s">
        <v>1002</v>
      </c>
      <c r="B101" s="20" t="str">
        <f aca="false">IFERROR(INDEX('Daftar Fitur'!$B$2:$B$98,C101),"")</f>
        <v>Penjual / Pelaku UMKM</v>
      </c>
      <c r="C101" s="19" t="n">
        <f aca="false">IFERROR(MATCH(D101,'Daftar Fitur'!$D$2:$D$98,0),"")</f>
        <v>71</v>
      </c>
      <c r="D101" s="21" t="s">
        <v>374</v>
      </c>
      <c r="E101" s="20" t="s">
        <v>1003</v>
      </c>
      <c r="F101" s="19" t="s">
        <v>40</v>
      </c>
      <c r="G101" s="19" t="s">
        <v>37</v>
      </c>
      <c r="H101" s="20" t="s">
        <v>1004</v>
      </c>
      <c r="I101" s="20" t="s">
        <v>1005</v>
      </c>
      <c r="J101" s="20" t="s">
        <v>563</v>
      </c>
      <c r="K101" s="20" t="s">
        <v>1006</v>
      </c>
      <c r="L101" s="25"/>
      <c r="M101" s="22" t="s">
        <v>29</v>
      </c>
      <c r="N101" s="25"/>
      <c r="O101" s="26"/>
      <c r="P101" s="25"/>
    </row>
    <row r="102" customFormat="false" ht="23.85" hidden="false" customHeight="false" outlineLevel="0" collapsed="false">
      <c r="A102" s="19" t="s">
        <v>1007</v>
      </c>
      <c r="B102" s="20" t="str">
        <f aca="false">IFERROR(INDEX('Daftar Fitur'!$B$2:$B$98,C102),"")</f>
        <v>Penjual / Pelaku UMKM</v>
      </c>
      <c r="C102" s="19" t="n">
        <f aca="false">IFERROR(MATCH(D102,'Daftar Fitur'!$D$2:$D$98,0),"")</f>
        <v>72</v>
      </c>
      <c r="D102" s="21" t="s">
        <v>378</v>
      </c>
      <c r="E102" s="20" t="s">
        <v>1008</v>
      </c>
      <c r="F102" s="19" t="s">
        <v>40</v>
      </c>
      <c r="G102" s="19" t="s">
        <v>37</v>
      </c>
      <c r="H102" s="20" t="s">
        <v>819</v>
      </c>
      <c r="I102" s="20" t="s">
        <v>1009</v>
      </c>
      <c r="J102" s="20" t="s">
        <v>563</v>
      </c>
      <c r="K102" s="20" t="s">
        <v>1010</v>
      </c>
      <c r="L102" s="25"/>
      <c r="M102" s="22" t="s">
        <v>29</v>
      </c>
      <c r="N102" s="25"/>
      <c r="O102" s="26"/>
      <c r="P102" s="25"/>
    </row>
    <row r="103" customFormat="false" ht="23.85" hidden="false" customHeight="false" outlineLevel="0" collapsed="false">
      <c r="A103" s="19" t="s">
        <v>1011</v>
      </c>
      <c r="B103" s="20" t="str">
        <f aca="false">IFERROR(INDEX('Daftar Fitur'!$B$2:$B$98,C103),"")</f>
        <v>Penjual / Pelaku UMKM</v>
      </c>
      <c r="C103" s="19" t="n">
        <f aca="false">IFERROR(MATCH(D103,'Daftar Fitur'!$D$2:$D$98,0),"")</f>
        <v>73</v>
      </c>
      <c r="D103" s="21" t="s">
        <v>382</v>
      </c>
      <c r="E103" s="20" t="s">
        <v>1012</v>
      </c>
      <c r="F103" s="19" t="s">
        <v>40</v>
      </c>
      <c r="G103" s="19" t="s">
        <v>37</v>
      </c>
      <c r="H103" s="20" t="s">
        <v>819</v>
      </c>
      <c r="I103" s="20" t="s">
        <v>1013</v>
      </c>
      <c r="J103" s="20" t="s">
        <v>563</v>
      </c>
      <c r="K103" s="20" t="s">
        <v>1014</v>
      </c>
      <c r="L103" s="25"/>
      <c r="M103" s="22" t="s">
        <v>29</v>
      </c>
      <c r="N103" s="25"/>
      <c r="O103" s="26"/>
      <c r="P103" s="25"/>
    </row>
    <row r="104" customFormat="false" ht="35.05" hidden="false" customHeight="false" outlineLevel="0" collapsed="false">
      <c r="A104" s="19" t="s">
        <v>1015</v>
      </c>
      <c r="B104" s="20" t="str">
        <f aca="false">IFERROR(INDEX('Daftar Fitur'!$B$2:$B$98,C104),"")</f>
        <v>Penjual / Pelaku UMKM</v>
      </c>
      <c r="C104" s="19" t="n">
        <f aca="false">IFERROR(MATCH(D104,'Daftar Fitur'!$D$2:$D$98,0),"")</f>
        <v>74</v>
      </c>
      <c r="D104" s="21" t="s">
        <v>386</v>
      </c>
      <c r="E104" s="20" t="s">
        <v>1016</v>
      </c>
      <c r="F104" s="19" t="s">
        <v>40</v>
      </c>
      <c r="G104" s="19" t="s">
        <v>37</v>
      </c>
      <c r="H104" s="20" t="s">
        <v>1017</v>
      </c>
      <c r="I104" s="20" t="s">
        <v>1018</v>
      </c>
      <c r="J104" s="20" t="s">
        <v>563</v>
      </c>
      <c r="K104" s="20" t="s">
        <v>1019</v>
      </c>
      <c r="L104" s="25"/>
      <c r="M104" s="22" t="s">
        <v>29</v>
      </c>
      <c r="N104" s="25"/>
      <c r="O104" s="26"/>
      <c r="P104" s="25"/>
    </row>
    <row r="105" customFormat="false" ht="23.85" hidden="false" customHeight="false" outlineLevel="0" collapsed="false">
      <c r="A105" s="19" t="s">
        <v>1020</v>
      </c>
      <c r="B105" s="20" t="str">
        <f aca="false">IFERROR(INDEX('Daftar Fitur'!$B$2:$B$98,C105),"")</f>
        <v>Penjual / Pelaku UMKM</v>
      </c>
      <c r="C105" s="19" t="n">
        <f aca="false">IFERROR(MATCH(D105,'Daftar Fitur'!$D$2:$D$98,0),"")</f>
        <v>75</v>
      </c>
      <c r="D105" s="21" t="s">
        <v>390</v>
      </c>
      <c r="E105" s="20" t="s">
        <v>1021</v>
      </c>
      <c r="F105" s="19" t="s">
        <v>40</v>
      </c>
      <c r="G105" s="19" t="s">
        <v>38</v>
      </c>
      <c r="H105" s="20" t="s">
        <v>819</v>
      </c>
      <c r="I105" s="20" t="s">
        <v>1022</v>
      </c>
      <c r="J105" s="20" t="s">
        <v>563</v>
      </c>
      <c r="K105" s="20" t="s">
        <v>1023</v>
      </c>
      <c r="L105" s="25"/>
      <c r="M105" s="22" t="s">
        <v>29</v>
      </c>
      <c r="N105" s="25"/>
      <c r="O105" s="26"/>
      <c r="P105" s="25"/>
    </row>
    <row r="106" customFormat="false" ht="35.05" hidden="false" customHeight="false" outlineLevel="0" collapsed="false">
      <c r="A106" s="19" t="s">
        <v>1024</v>
      </c>
      <c r="B106" s="20" t="str">
        <f aca="false">IFERROR(INDEX('Daftar Fitur'!$B$2:$B$98,C106),"")</f>
        <v>Admin / Pengelola Platform</v>
      </c>
      <c r="C106" s="19" t="n">
        <f aca="false">IFERROR(MATCH(D106,'Daftar Fitur'!$D$2:$D$98,0),"")</f>
        <v>76</v>
      </c>
      <c r="D106" s="21" t="s">
        <v>395</v>
      </c>
      <c r="E106" s="20" t="s">
        <v>1025</v>
      </c>
      <c r="F106" s="19" t="s">
        <v>40</v>
      </c>
      <c r="G106" s="19" t="s">
        <v>37</v>
      </c>
      <c r="H106" s="20" t="s">
        <v>1026</v>
      </c>
      <c r="I106" s="20" t="s">
        <v>1027</v>
      </c>
      <c r="J106" s="20" t="s">
        <v>563</v>
      </c>
      <c r="K106" s="20" t="s">
        <v>1028</v>
      </c>
      <c r="L106" s="25"/>
      <c r="M106" s="22" t="s">
        <v>29</v>
      </c>
      <c r="N106" s="25"/>
      <c r="O106" s="26"/>
      <c r="P106" s="25"/>
    </row>
    <row r="107" customFormat="false" ht="35.05" hidden="false" customHeight="false" outlineLevel="0" collapsed="false">
      <c r="A107" s="19" t="s">
        <v>1029</v>
      </c>
      <c r="B107" s="20" t="str">
        <f aca="false">IFERROR(INDEX('Daftar Fitur'!$B$2:$B$98,C107),"")</f>
        <v>Admin / Pengelola Platform</v>
      </c>
      <c r="C107" s="19" t="n">
        <f aca="false">IFERROR(MATCH(D107,'Daftar Fitur'!$D$2:$D$98,0),"")</f>
        <v>77</v>
      </c>
      <c r="D107" s="21" t="s">
        <v>399</v>
      </c>
      <c r="E107" s="20" t="s">
        <v>1030</v>
      </c>
      <c r="F107" s="19" t="s">
        <v>40</v>
      </c>
      <c r="G107" s="19" t="s">
        <v>37</v>
      </c>
      <c r="H107" s="20" t="s">
        <v>1026</v>
      </c>
      <c r="I107" s="20" t="s">
        <v>1031</v>
      </c>
      <c r="J107" s="20" t="s">
        <v>563</v>
      </c>
      <c r="K107" s="20" t="s">
        <v>1032</v>
      </c>
      <c r="L107" s="25"/>
      <c r="M107" s="22" t="s">
        <v>29</v>
      </c>
      <c r="N107" s="25"/>
      <c r="O107" s="26"/>
      <c r="P107" s="25"/>
    </row>
    <row r="108" customFormat="false" ht="35.05" hidden="false" customHeight="false" outlineLevel="0" collapsed="false">
      <c r="A108" s="19" t="s">
        <v>1033</v>
      </c>
      <c r="B108" s="20" t="str">
        <f aca="false">IFERROR(INDEX('Daftar Fitur'!$B$2:$B$98,C108),"")</f>
        <v>Admin / Pengelola Platform</v>
      </c>
      <c r="C108" s="19" t="n">
        <f aca="false">IFERROR(MATCH(D108,'Daftar Fitur'!$D$2:$D$98,0),"")</f>
        <v>78</v>
      </c>
      <c r="D108" s="21" t="s">
        <v>403</v>
      </c>
      <c r="E108" s="20" t="s">
        <v>1034</v>
      </c>
      <c r="F108" s="19" t="s">
        <v>40</v>
      </c>
      <c r="G108" s="19" t="s">
        <v>38</v>
      </c>
      <c r="H108" s="20" t="s">
        <v>1026</v>
      </c>
      <c r="I108" s="20" t="s">
        <v>1035</v>
      </c>
      <c r="J108" s="20" t="s">
        <v>563</v>
      </c>
      <c r="K108" s="20" t="s">
        <v>1036</v>
      </c>
      <c r="L108" s="25"/>
      <c r="M108" s="22" t="s">
        <v>29</v>
      </c>
      <c r="N108" s="25"/>
      <c r="O108" s="26"/>
      <c r="P108" s="25"/>
    </row>
    <row r="109" customFormat="false" ht="35.05" hidden="false" customHeight="false" outlineLevel="0" collapsed="false">
      <c r="A109" s="19" t="s">
        <v>1037</v>
      </c>
      <c r="B109" s="20" t="str">
        <f aca="false">IFERROR(INDEX('Daftar Fitur'!$B$2:$B$98,C109),"")</f>
        <v>Admin / Pengelola Platform</v>
      </c>
      <c r="C109" s="19" t="n">
        <f aca="false">IFERROR(MATCH(D109,'Daftar Fitur'!$D$2:$D$98,0),"")</f>
        <v>79</v>
      </c>
      <c r="D109" s="21" t="s">
        <v>408</v>
      </c>
      <c r="E109" s="20" t="s">
        <v>1038</v>
      </c>
      <c r="F109" s="19" t="s">
        <v>40</v>
      </c>
      <c r="G109" s="19" t="s">
        <v>36</v>
      </c>
      <c r="H109" s="20" t="s">
        <v>1039</v>
      </c>
      <c r="I109" s="20" t="s">
        <v>1040</v>
      </c>
      <c r="J109" s="20" t="s">
        <v>563</v>
      </c>
      <c r="K109" s="20" t="s">
        <v>1041</v>
      </c>
      <c r="L109" s="25"/>
      <c r="M109" s="22" t="s">
        <v>29</v>
      </c>
      <c r="N109" s="25"/>
      <c r="O109" s="26"/>
      <c r="P109" s="25"/>
    </row>
    <row r="110" customFormat="false" ht="35.05" hidden="false" customHeight="false" outlineLevel="0" collapsed="false">
      <c r="A110" s="19" t="s">
        <v>1042</v>
      </c>
      <c r="B110" s="20" t="str">
        <f aca="false">IFERROR(INDEX('Daftar Fitur'!$B$2:$B$98,C110),"")</f>
        <v>Admin / Pengelola Platform</v>
      </c>
      <c r="C110" s="19" t="n">
        <f aca="false">IFERROR(MATCH(D110,'Daftar Fitur'!$D$2:$D$98,0),"")</f>
        <v>80</v>
      </c>
      <c r="D110" s="21" t="s">
        <v>412</v>
      </c>
      <c r="E110" s="20" t="s">
        <v>1043</v>
      </c>
      <c r="F110" s="19" t="s">
        <v>40</v>
      </c>
      <c r="G110" s="19" t="s">
        <v>37</v>
      </c>
      <c r="H110" s="20" t="s">
        <v>1026</v>
      </c>
      <c r="I110" s="20" t="s">
        <v>1044</v>
      </c>
      <c r="J110" s="20" t="s">
        <v>563</v>
      </c>
      <c r="K110" s="20" t="s">
        <v>1045</v>
      </c>
      <c r="L110" s="25"/>
      <c r="M110" s="22" t="s">
        <v>29</v>
      </c>
      <c r="N110" s="25"/>
      <c r="O110" s="26"/>
      <c r="P110" s="25"/>
    </row>
    <row r="111" customFormat="false" ht="35.05" hidden="false" customHeight="false" outlineLevel="0" collapsed="false">
      <c r="A111" s="19" t="s">
        <v>1046</v>
      </c>
      <c r="B111" s="20" t="str">
        <f aca="false">IFERROR(INDEX('Daftar Fitur'!$B$2:$B$98,C111),"")</f>
        <v>Admin / Pengelola Platform</v>
      </c>
      <c r="C111" s="19" t="n">
        <f aca="false">IFERROR(MATCH(D111,'Daftar Fitur'!$D$2:$D$98,0),"")</f>
        <v>81</v>
      </c>
      <c r="D111" s="21" t="s">
        <v>416</v>
      </c>
      <c r="E111" s="20" t="s">
        <v>1047</v>
      </c>
      <c r="F111" s="19" t="s">
        <v>40</v>
      </c>
      <c r="G111" s="19" t="s">
        <v>36</v>
      </c>
      <c r="H111" s="20" t="s">
        <v>1048</v>
      </c>
      <c r="I111" s="20" t="s">
        <v>1049</v>
      </c>
      <c r="J111" s="20" t="s">
        <v>563</v>
      </c>
      <c r="K111" s="20" t="s">
        <v>1050</v>
      </c>
      <c r="L111" s="25"/>
      <c r="M111" s="22" t="s">
        <v>29</v>
      </c>
      <c r="N111" s="25"/>
      <c r="O111" s="26"/>
      <c r="P111" s="25"/>
    </row>
    <row r="112" customFormat="false" ht="35.05" hidden="false" customHeight="false" outlineLevel="0" collapsed="false">
      <c r="A112" s="19" t="s">
        <v>1051</v>
      </c>
      <c r="B112" s="20" t="str">
        <f aca="false">IFERROR(INDEX('Daftar Fitur'!$B$2:$B$98,C112),"")</f>
        <v>Admin / Pengelola Platform</v>
      </c>
      <c r="C112" s="19" t="n">
        <f aca="false">IFERROR(MATCH(D112,'Daftar Fitur'!$D$2:$D$98,0),"")</f>
        <v>82</v>
      </c>
      <c r="D112" s="21" t="s">
        <v>420</v>
      </c>
      <c r="E112" s="20" t="s">
        <v>1052</v>
      </c>
      <c r="F112" s="19" t="s">
        <v>40</v>
      </c>
      <c r="G112" s="19" t="s">
        <v>37</v>
      </c>
      <c r="H112" s="20" t="s">
        <v>1026</v>
      </c>
      <c r="I112" s="20" t="s">
        <v>1053</v>
      </c>
      <c r="J112" s="20" t="s">
        <v>563</v>
      </c>
      <c r="K112" s="20" t="s">
        <v>1054</v>
      </c>
      <c r="L112" s="25"/>
      <c r="M112" s="22" t="s">
        <v>29</v>
      </c>
      <c r="N112" s="25"/>
      <c r="O112" s="26"/>
      <c r="P112" s="25"/>
    </row>
    <row r="113" customFormat="false" ht="35.05" hidden="false" customHeight="false" outlineLevel="0" collapsed="false">
      <c r="A113" s="19" t="s">
        <v>1055</v>
      </c>
      <c r="B113" s="20" t="str">
        <f aca="false">IFERROR(INDEX('Daftar Fitur'!$B$2:$B$98,C113),"")</f>
        <v>Admin / Pengelola Platform</v>
      </c>
      <c r="C113" s="19" t="n">
        <f aca="false">IFERROR(MATCH(D113,'Daftar Fitur'!$D$2:$D$98,0),"")</f>
        <v>82</v>
      </c>
      <c r="D113" s="21" t="s">
        <v>420</v>
      </c>
      <c r="E113" s="20" t="s">
        <v>1056</v>
      </c>
      <c r="F113" s="19" t="s">
        <v>43</v>
      </c>
      <c r="G113" s="19" t="s">
        <v>36</v>
      </c>
      <c r="H113" s="20" t="s">
        <v>1057</v>
      </c>
      <c r="I113" s="20" t="s">
        <v>1058</v>
      </c>
      <c r="J113" s="20" t="s">
        <v>563</v>
      </c>
      <c r="K113" s="20" t="s">
        <v>1059</v>
      </c>
      <c r="L113" s="25"/>
      <c r="M113" s="22" t="s">
        <v>29</v>
      </c>
      <c r="N113" s="25"/>
      <c r="O113" s="26"/>
      <c r="P113" s="25"/>
    </row>
    <row r="114" customFormat="false" ht="35.05" hidden="false" customHeight="false" outlineLevel="0" collapsed="false">
      <c r="A114" s="19" t="s">
        <v>1060</v>
      </c>
      <c r="B114" s="20" t="str">
        <f aca="false">IFERROR(INDEX('Daftar Fitur'!$B$2:$B$98,C114),"")</f>
        <v>Admin / Pengelola Platform</v>
      </c>
      <c r="C114" s="19" t="n">
        <f aca="false">IFERROR(MATCH(D114,'Daftar Fitur'!$D$2:$D$98,0),"")</f>
        <v>83</v>
      </c>
      <c r="D114" s="21" t="s">
        <v>425</v>
      </c>
      <c r="E114" s="20" t="s">
        <v>1061</v>
      </c>
      <c r="F114" s="19" t="s">
        <v>40</v>
      </c>
      <c r="G114" s="19" t="s">
        <v>38</v>
      </c>
      <c r="H114" s="20" t="s">
        <v>1026</v>
      </c>
      <c r="I114" s="20" t="s">
        <v>1062</v>
      </c>
      <c r="J114" s="20" t="s">
        <v>563</v>
      </c>
      <c r="K114" s="20" t="s">
        <v>1063</v>
      </c>
      <c r="L114" s="25"/>
      <c r="M114" s="22" t="s">
        <v>29</v>
      </c>
      <c r="N114" s="25"/>
      <c r="O114" s="26"/>
      <c r="P114" s="25"/>
    </row>
    <row r="115" customFormat="false" ht="35.05" hidden="false" customHeight="false" outlineLevel="0" collapsed="false">
      <c r="A115" s="19" t="s">
        <v>1064</v>
      </c>
      <c r="B115" s="20" t="str">
        <f aca="false">IFERROR(INDEX('Daftar Fitur'!$B$2:$B$98,C115),"")</f>
        <v>Admin / Pengelola Platform</v>
      </c>
      <c r="C115" s="19" t="n">
        <f aca="false">IFERROR(MATCH(D115,'Daftar Fitur'!$D$2:$D$98,0),"")</f>
        <v>84</v>
      </c>
      <c r="D115" s="21" t="s">
        <v>429</v>
      </c>
      <c r="E115" s="20" t="s">
        <v>1065</v>
      </c>
      <c r="F115" s="19" t="s">
        <v>40</v>
      </c>
      <c r="G115" s="19" t="s">
        <v>36</v>
      </c>
      <c r="H115" s="20" t="s">
        <v>1026</v>
      </c>
      <c r="I115" s="20" t="s">
        <v>1066</v>
      </c>
      <c r="J115" s="20" t="s">
        <v>563</v>
      </c>
      <c r="K115" s="20" t="s">
        <v>1067</v>
      </c>
      <c r="L115" s="25"/>
      <c r="M115" s="22" t="s">
        <v>29</v>
      </c>
      <c r="N115" s="25"/>
      <c r="O115" s="26"/>
      <c r="P115" s="25"/>
    </row>
    <row r="116" customFormat="false" ht="46.25" hidden="false" customHeight="false" outlineLevel="0" collapsed="false">
      <c r="A116" s="19" t="s">
        <v>1068</v>
      </c>
      <c r="B116" s="20" t="str">
        <f aca="false">IFERROR(INDEX('Daftar Fitur'!$B$2:$B$98,C116),"")</f>
        <v>Admin / Pengelola Platform</v>
      </c>
      <c r="C116" s="19" t="n">
        <f aca="false">IFERROR(MATCH(D116,'Daftar Fitur'!$D$2:$D$98,0),"")</f>
        <v>85</v>
      </c>
      <c r="D116" s="21" t="s">
        <v>433</v>
      </c>
      <c r="E116" s="20" t="s">
        <v>1069</v>
      </c>
      <c r="F116" s="19" t="s">
        <v>40</v>
      </c>
      <c r="G116" s="19" t="s">
        <v>37</v>
      </c>
      <c r="H116" s="20" t="s">
        <v>1026</v>
      </c>
      <c r="I116" s="20" t="s">
        <v>1070</v>
      </c>
      <c r="J116" s="20" t="s">
        <v>563</v>
      </c>
      <c r="K116" s="20" t="s">
        <v>1071</v>
      </c>
      <c r="L116" s="25"/>
      <c r="M116" s="22" t="s">
        <v>29</v>
      </c>
      <c r="N116" s="25"/>
      <c r="O116" s="26"/>
      <c r="P116" s="25"/>
    </row>
    <row r="117" customFormat="false" ht="35.05" hidden="false" customHeight="false" outlineLevel="0" collapsed="false">
      <c r="A117" s="19" t="s">
        <v>1072</v>
      </c>
      <c r="B117" s="20" t="str">
        <f aca="false">IFERROR(INDEX('Daftar Fitur'!$B$2:$B$98,C117),"")</f>
        <v>Admin / Pengelola Platform</v>
      </c>
      <c r="C117" s="19" t="n">
        <f aca="false">IFERROR(MATCH(D117,'Daftar Fitur'!$D$2:$D$98,0),"")</f>
        <v>86</v>
      </c>
      <c r="D117" s="21" t="s">
        <v>437</v>
      </c>
      <c r="E117" s="20" t="s">
        <v>1073</v>
      </c>
      <c r="F117" s="19" t="s">
        <v>40</v>
      </c>
      <c r="G117" s="19" t="s">
        <v>38</v>
      </c>
      <c r="H117" s="20" t="s">
        <v>1026</v>
      </c>
      <c r="I117" s="20" t="s">
        <v>1074</v>
      </c>
      <c r="J117" s="20" t="s">
        <v>563</v>
      </c>
      <c r="K117" s="20" t="s">
        <v>1075</v>
      </c>
      <c r="L117" s="25"/>
      <c r="M117" s="22" t="s">
        <v>29</v>
      </c>
      <c r="N117" s="25"/>
      <c r="O117" s="26"/>
      <c r="P117" s="25"/>
    </row>
    <row r="118" customFormat="false" ht="35.05" hidden="false" customHeight="false" outlineLevel="0" collapsed="false">
      <c r="A118" s="19" t="s">
        <v>1076</v>
      </c>
      <c r="B118" s="20" t="str">
        <f aca="false">IFERROR(INDEX('Daftar Fitur'!$B$2:$B$98,C118),"")</f>
        <v>Admin / Pengelola Platform</v>
      </c>
      <c r="C118" s="19" t="n">
        <f aca="false">IFERROR(MATCH(D118,'Daftar Fitur'!$D$2:$D$98,0),"")</f>
        <v>87</v>
      </c>
      <c r="D118" s="21" t="s">
        <v>441</v>
      </c>
      <c r="E118" s="20" t="s">
        <v>1077</v>
      </c>
      <c r="F118" s="19" t="s">
        <v>40</v>
      </c>
      <c r="G118" s="19" t="s">
        <v>37</v>
      </c>
      <c r="H118" s="20" t="s">
        <v>1078</v>
      </c>
      <c r="I118" s="20" t="s">
        <v>1079</v>
      </c>
      <c r="J118" s="20" t="s">
        <v>563</v>
      </c>
      <c r="K118" s="20" t="s">
        <v>1080</v>
      </c>
      <c r="L118" s="25"/>
      <c r="M118" s="22" t="s">
        <v>29</v>
      </c>
      <c r="N118" s="25"/>
      <c r="O118" s="26"/>
      <c r="P118" s="25"/>
    </row>
    <row r="119" customFormat="false" ht="35.05" hidden="false" customHeight="false" outlineLevel="0" collapsed="false">
      <c r="A119" s="19" t="s">
        <v>1081</v>
      </c>
      <c r="B119" s="20" t="str">
        <f aca="false">IFERROR(INDEX('Daftar Fitur'!$B$2:$B$98,C119),"")</f>
        <v>Admin / Pengelola Platform</v>
      </c>
      <c r="C119" s="19" t="n">
        <f aca="false">IFERROR(MATCH(D119,'Daftar Fitur'!$D$2:$D$98,0),"")</f>
        <v>88</v>
      </c>
      <c r="D119" s="21" t="s">
        <v>446</v>
      </c>
      <c r="E119" s="20" t="s">
        <v>1082</v>
      </c>
      <c r="F119" s="19" t="s">
        <v>40</v>
      </c>
      <c r="G119" s="19" t="s">
        <v>36</v>
      </c>
      <c r="H119" s="20" t="s">
        <v>1083</v>
      </c>
      <c r="I119" s="20" t="s">
        <v>1084</v>
      </c>
      <c r="J119" s="20" t="s">
        <v>563</v>
      </c>
      <c r="K119" s="20" t="s">
        <v>1085</v>
      </c>
      <c r="L119" s="25"/>
      <c r="M119" s="22" t="s">
        <v>29</v>
      </c>
      <c r="N119" s="25"/>
      <c r="O119" s="26"/>
      <c r="P119" s="25"/>
    </row>
    <row r="120" customFormat="false" ht="35.05" hidden="false" customHeight="false" outlineLevel="0" collapsed="false">
      <c r="A120" s="19" t="s">
        <v>1086</v>
      </c>
      <c r="B120" s="20" t="str">
        <f aca="false">IFERROR(INDEX('Daftar Fitur'!$B$2:$B$98,C120),"")</f>
        <v>Admin / Pengelola Platform</v>
      </c>
      <c r="C120" s="19" t="n">
        <f aca="false">IFERROR(MATCH(D120,'Daftar Fitur'!$D$2:$D$98,0),"")</f>
        <v>89</v>
      </c>
      <c r="D120" s="21" t="s">
        <v>450</v>
      </c>
      <c r="E120" s="20" t="s">
        <v>1087</v>
      </c>
      <c r="F120" s="19" t="s">
        <v>40</v>
      </c>
      <c r="G120" s="19" t="s">
        <v>36</v>
      </c>
      <c r="H120" s="20" t="s">
        <v>1088</v>
      </c>
      <c r="I120" s="20" t="s">
        <v>1089</v>
      </c>
      <c r="J120" s="20" t="s">
        <v>563</v>
      </c>
      <c r="K120" s="20" t="s">
        <v>1090</v>
      </c>
      <c r="L120" s="25"/>
      <c r="M120" s="22" t="s">
        <v>29</v>
      </c>
      <c r="N120" s="25"/>
      <c r="O120" s="26"/>
      <c r="P120" s="25"/>
    </row>
    <row r="121" customFormat="false" ht="35.05" hidden="false" customHeight="false" outlineLevel="0" collapsed="false">
      <c r="A121" s="19" t="s">
        <v>1091</v>
      </c>
      <c r="B121" s="20" t="str">
        <f aca="false">IFERROR(INDEX('Daftar Fitur'!$B$2:$B$98,C121),"")</f>
        <v>Admin / Pengelola Platform</v>
      </c>
      <c r="C121" s="19" t="n">
        <f aca="false">IFERROR(MATCH(D121,'Daftar Fitur'!$D$2:$D$98,0),"")</f>
        <v>90</v>
      </c>
      <c r="D121" s="21" t="s">
        <v>454</v>
      </c>
      <c r="E121" s="20" t="s">
        <v>1092</v>
      </c>
      <c r="F121" s="19" t="s">
        <v>40</v>
      </c>
      <c r="G121" s="19" t="s">
        <v>36</v>
      </c>
      <c r="H121" s="20" t="s">
        <v>1093</v>
      </c>
      <c r="I121" s="20" t="s">
        <v>1094</v>
      </c>
      <c r="J121" s="20" t="s">
        <v>563</v>
      </c>
      <c r="K121" s="20" t="s">
        <v>1095</v>
      </c>
      <c r="L121" s="25"/>
      <c r="M121" s="22" t="s">
        <v>29</v>
      </c>
      <c r="N121" s="25"/>
      <c r="O121" s="26"/>
      <c r="P121" s="25"/>
    </row>
    <row r="122" customFormat="false" ht="35.05" hidden="false" customHeight="false" outlineLevel="0" collapsed="false">
      <c r="A122" s="19" t="s">
        <v>1096</v>
      </c>
      <c r="B122" s="20" t="str">
        <f aca="false">IFERROR(INDEX('Daftar Fitur'!$B$2:$B$98,C122),"")</f>
        <v>Admin / Pengelola Platform</v>
      </c>
      <c r="C122" s="19" t="n">
        <f aca="false">IFERROR(MATCH(D122,'Daftar Fitur'!$D$2:$D$98,0),"")</f>
        <v>91</v>
      </c>
      <c r="D122" s="21" t="s">
        <v>458</v>
      </c>
      <c r="E122" s="20" t="s">
        <v>1097</v>
      </c>
      <c r="F122" s="19" t="s">
        <v>40</v>
      </c>
      <c r="G122" s="19" t="s">
        <v>37</v>
      </c>
      <c r="H122" s="20" t="s">
        <v>1098</v>
      </c>
      <c r="I122" s="20" t="s">
        <v>1099</v>
      </c>
      <c r="J122" s="20" t="s">
        <v>563</v>
      </c>
      <c r="K122" s="20" t="s">
        <v>1100</v>
      </c>
      <c r="L122" s="25"/>
      <c r="M122" s="22" t="s">
        <v>29</v>
      </c>
      <c r="N122" s="25"/>
      <c r="O122" s="26"/>
      <c r="P122" s="25"/>
    </row>
    <row r="123" customFormat="false" ht="35.05" hidden="false" customHeight="false" outlineLevel="0" collapsed="false">
      <c r="A123" s="19" t="s">
        <v>1101</v>
      </c>
      <c r="B123" s="20" t="str">
        <f aca="false">IFERROR(INDEX('Daftar Fitur'!$B$2:$B$98,C123),"")</f>
        <v>Admin / Pengelola Platform</v>
      </c>
      <c r="C123" s="19" t="n">
        <f aca="false">IFERROR(MATCH(D123,'Daftar Fitur'!$D$2:$D$98,0),"")</f>
        <v>92</v>
      </c>
      <c r="D123" s="21" t="s">
        <v>462</v>
      </c>
      <c r="E123" s="20" t="s">
        <v>1102</v>
      </c>
      <c r="F123" s="19" t="s">
        <v>40</v>
      </c>
      <c r="G123" s="19" t="s">
        <v>36</v>
      </c>
      <c r="H123" s="20" t="s">
        <v>1103</v>
      </c>
      <c r="I123" s="20" t="s">
        <v>1104</v>
      </c>
      <c r="J123" s="20" t="s">
        <v>563</v>
      </c>
      <c r="K123" s="20" t="s">
        <v>1105</v>
      </c>
      <c r="L123" s="25"/>
      <c r="M123" s="22" t="s">
        <v>29</v>
      </c>
      <c r="N123" s="25"/>
      <c r="O123" s="26"/>
      <c r="P123" s="25"/>
    </row>
    <row r="124" customFormat="false" ht="35.05" hidden="false" customHeight="false" outlineLevel="0" collapsed="false">
      <c r="A124" s="19" t="s">
        <v>1106</v>
      </c>
      <c r="B124" s="20" t="str">
        <f aca="false">IFERROR(INDEX('Daftar Fitur'!$B$2:$B$98,C124),"")</f>
        <v>Admin / Pengelola Platform</v>
      </c>
      <c r="C124" s="19" t="n">
        <f aca="false">IFERROR(MATCH(D124,'Daftar Fitur'!$D$2:$D$98,0),"")</f>
        <v>93</v>
      </c>
      <c r="D124" s="21" t="s">
        <v>466</v>
      </c>
      <c r="E124" s="20" t="s">
        <v>1107</v>
      </c>
      <c r="F124" s="19" t="s">
        <v>40</v>
      </c>
      <c r="G124" s="19" t="s">
        <v>37</v>
      </c>
      <c r="H124" s="20" t="s">
        <v>1026</v>
      </c>
      <c r="I124" s="20" t="s">
        <v>1108</v>
      </c>
      <c r="J124" s="20" t="s">
        <v>563</v>
      </c>
      <c r="K124" s="20" t="s">
        <v>1109</v>
      </c>
      <c r="L124" s="25"/>
      <c r="M124" s="22" t="s">
        <v>29</v>
      </c>
      <c r="N124" s="25"/>
      <c r="O124" s="26"/>
      <c r="P124" s="25"/>
    </row>
    <row r="125" customFormat="false" ht="35.05" hidden="false" customHeight="false" outlineLevel="0" collapsed="false">
      <c r="A125" s="19" t="s">
        <v>1110</v>
      </c>
      <c r="B125" s="20" t="str">
        <f aca="false">IFERROR(INDEX('Daftar Fitur'!$B$2:$B$98,C125),"")</f>
        <v>Admin / Pengelola Platform</v>
      </c>
      <c r="C125" s="19" t="n">
        <f aca="false">IFERROR(MATCH(D125,'Daftar Fitur'!$D$2:$D$98,0),"")</f>
        <v>94</v>
      </c>
      <c r="D125" s="21" t="s">
        <v>470</v>
      </c>
      <c r="E125" s="20" t="s">
        <v>1111</v>
      </c>
      <c r="F125" s="19" t="s">
        <v>40</v>
      </c>
      <c r="G125" s="19" t="s">
        <v>36</v>
      </c>
      <c r="H125" s="20" t="s">
        <v>1026</v>
      </c>
      <c r="I125" s="20" t="s">
        <v>1112</v>
      </c>
      <c r="J125" s="20" t="s">
        <v>563</v>
      </c>
      <c r="K125" s="20" t="s">
        <v>1113</v>
      </c>
      <c r="L125" s="25"/>
      <c r="M125" s="22" t="s">
        <v>29</v>
      </c>
      <c r="N125" s="25"/>
      <c r="O125" s="26"/>
      <c r="P125" s="25"/>
    </row>
    <row r="126" customFormat="false" ht="35.05" hidden="false" customHeight="false" outlineLevel="0" collapsed="false">
      <c r="A126" s="19" t="s">
        <v>1114</v>
      </c>
      <c r="B126" s="20" t="str">
        <f aca="false">IFERROR(INDEX('Daftar Fitur'!$B$2:$B$98,C126),"")</f>
        <v>Admin / Pengelola Platform</v>
      </c>
      <c r="C126" s="19" t="n">
        <f aca="false">IFERROR(MATCH(D126,'Daftar Fitur'!$D$2:$D$98,0),"")</f>
        <v>94</v>
      </c>
      <c r="D126" s="21" t="s">
        <v>470</v>
      </c>
      <c r="E126" s="20" t="s">
        <v>1115</v>
      </c>
      <c r="F126" s="19" t="s">
        <v>43</v>
      </c>
      <c r="G126" s="19" t="s">
        <v>36</v>
      </c>
      <c r="H126" s="20" t="s">
        <v>1116</v>
      </c>
      <c r="I126" s="20" t="s">
        <v>1117</v>
      </c>
      <c r="J126" s="20" t="s">
        <v>563</v>
      </c>
      <c r="K126" s="20" t="s">
        <v>1118</v>
      </c>
      <c r="L126" s="25"/>
      <c r="M126" s="22" t="s">
        <v>29</v>
      </c>
      <c r="N126" s="25"/>
      <c r="O126" s="26"/>
      <c r="P126" s="25"/>
    </row>
    <row r="127" customFormat="false" ht="35.05" hidden="false" customHeight="false" outlineLevel="0" collapsed="false">
      <c r="A127" s="19" t="s">
        <v>1119</v>
      </c>
      <c r="B127" s="20" t="str">
        <f aca="false">IFERROR(INDEX('Daftar Fitur'!$B$2:$B$98,C127),"")</f>
        <v>Admin / Pengelola Platform</v>
      </c>
      <c r="C127" s="19" t="n">
        <f aca="false">IFERROR(MATCH(D127,'Daftar Fitur'!$D$2:$D$98,0),"")</f>
        <v>95</v>
      </c>
      <c r="D127" s="21" t="s">
        <v>475</v>
      </c>
      <c r="E127" s="20" t="s">
        <v>1120</v>
      </c>
      <c r="F127" s="19" t="s">
        <v>40</v>
      </c>
      <c r="G127" s="19" t="s">
        <v>37</v>
      </c>
      <c r="H127" s="20" t="s">
        <v>1026</v>
      </c>
      <c r="I127" s="20" t="s">
        <v>1121</v>
      </c>
      <c r="J127" s="20" t="s">
        <v>563</v>
      </c>
      <c r="K127" s="20" t="s">
        <v>1122</v>
      </c>
      <c r="L127" s="25"/>
      <c r="M127" s="22" t="s">
        <v>29</v>
      </c>
      <c r="N127" s="25"/>
      <c r="O127" s="26"/>
      <c r="P127" s="25"/>
    </row>
    <row r="128" customFormat="false" ht="35.05" hidden="false" customHeight="false" outlineLevel="0" collapsed="false">
      <c r="A128" s="19" t="s">
        <v>1123</v>
      </c>
      <c r="B128" s="20" t="str">
        <f aca="false">IFERROR(INDEX('Daftar Fitur'!$B$2:$B$98,C128),"")</f>
        <v>Admin / Pengelola Platform</v>
      </c>
      <c r="C128" s="19" t="n">
        <f aca="false">IFERROR(MATCH(D128,'Daftar Fitur'!$D$2:$D$98,0),"")</f>
        <v>96</v>
      </c>
      <c r="D128" s="21" t="s">
        <v>479</v>
      </c>
      <c r="E128" s="20" t="s">
        <v>1124</v>
      </c>
      <c r="F128" s="19" t="s">
        <v>40</v>
      </c>
      <c r="G128" s="19" t="s">
        <v>37</v>
      </c>
      <c r="H128" s="20" t="s">
        <v>1026</v>
      </c>
      <c r="I128" s="20" t="s">
        <v>1125</v>
      </c>
      <c r="J128" s="20" t="s">
        <v>563</v>
      </c>
      <c r="K128" s="20" t="s">
        <v>1126</v>
      </c>
      <c r="L128" s="25"/>
      <c r="M128" s="22" t="s">
        <v>29</v>
      </c>
      <c r="N128" s="25"/>
      <c r="O128" s="26"/>
      <c r="P128" s="25"/>
    </row>
    <row r="129" customFormat="false" ht="35.05" hidden="false" customHeight="false" outlineLevel="0" collapsed="false">
      <c r="A129" s="19" t="s">
        <v>1127</v>
      </c>
      <c r="B129" s="20" t="str">
        <f aca="false">IFERROR(INDEX('Daftar Fitur'!$B$2:$B$98,C129),"")</f>
        <v>Admin / Pengelola Platform</v>
      </c>
      <c r="C129" s="19" t="n">
        <f aca="false">IFERROR(MATCH(D129,'Daftar Fitur'!$D$2:$D$98,0),"")</f>
        <v>97</v>
      </c>
      <c r="D129" s="21" t="s">
        <v>483</v>
      </c>
      <c r="E129" s="20" t="s">
        <v>1128</v>
      </c>
      <c r="F129" s="19" t="s">
        <v>41</v>
      </c>
      <c r="G129" s="19" t="s">
        <v>38</v>
      </c>
      <c r="H129" s="20" t="s">
        <v>563</v>
      </c>
      <c r="I129" s="20" t="s">
        <v>1129</v>
      </c>
      <c r="J129" s="20" t="s">
        <v>563</v>
      </c>
      <c r="K129" s="20" t="s">
        <v>1130</v>
      </c>
      <c r="L129" s="25"/>
      <c r="M129" s="22" t="s">
        <v>29</v>
      </c>
      <c r="N129" s="25"/>
      <c r="O129" s="26"/>
      <c r="P129" s="25"/>
    </row>
  </sheetData>
  <autoFilter ref="A1:P129"/>
  <conditionalFormatting sqref="M2:M129">
    <cfRule type="cellIs" priority="2" operator="equal" aboveAverage="0" equalAverage="0" bottom="0" percent="0" rank="0" text="" dxfId="0">
      <formula>"Lulus"</formula>
    </cfRule>
    <cfRule type="cellIs" priority="3" operator="equal" aboveAverage="0" equalAverage="0" bottom="0" percent="0" rank="0" text="" dxfId="1">
      <formula>"Gagal"</formula>
    </cfRule>
    <cfRule type="cellIs" priority="4" operator="equal" aboveAverage="0" equalAverage="0" bottom="0" percent="0" rank="0" text="" dxfId="9">
      <formula>"Terblokir"</formula>
    </cfRule>
  </conditionalFormatting>
  <conditionalFormatting sqref="G2:G129">
    <cfRule type="cellIs" priority="5" operator="equal" aboveAverage="0" equalAverage="0" bottom="0" percent="0" rank="0" text="" dxfId="10">
      <formula>"Tinggi"</formula>
    </cfRule>
  </conditionalFormatting>
  <dataValidations count="2">
    <dataValidation allowBlank="false" errorStyle="stop" operator="between" showDropDown="false" showErrorMessage="false" showInputMessage="false" sqref="M2:M129" type="list">
      <formula1>"Belum diuji,Lulus,Gagal,Terblokir"</formula1>
      <formula2>0</formula2>
    </dataValidation>
    <dataValidation allowBlank="true" error="Isi tanggal, mis. 14/10/2026" errorStyle="stop" errorTitle="Tanggal" operator="greaterThan" showDropDown="false" showErrorMessage="false" showInputMessage="false" sqref="O2:O129" type="date">
      <formula1>45658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45"/>
    <col collapsed="false" customWidth="true" hidden="false" outlineLevel="0" max="6" min="5" style="0" width="35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22"/>
    <col collapsed="false" customWidth="true" hidden="false" outlineLevel="0" max="10" min="10" style="0" width="14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2"/>
  </cols>
  <sheetData>
    <row r="1" customFormat="false" ht="26.85" hidden="false" customHeight="false" outlineLevel="0" collapsed="false">
      <c r="A1" s="3" t="s">
        <v>1131</v>
      </c>
      <c r="B1" s="3" t="s">
        <v>1132</v>
      </c>
      <c r="C1" s="3" t="s">
        <v>1133</v>
      </c>
      <c r="D1" s="3" t="s">
        <v>1134</v>
      </c>
      <c r="E1" s="3" t="s">
        <v>505</v>
      </c>
      <c r="F1" s="3" t="s">
        <v>504</v>
      </c>
      <c r="G1" s="3" t="s">
        <v>1135</v>
      </c>
      <c r="H1" s="3" t="s">
        <v>1136</v>
      </c>
      <c r="I1" s="3" t="s">
        <v>1137</v>
      </c>
      <c r="J1" s="3" t="s">
        <v>1138</v>
      </c>
      <c r="K1" s="3" t="s">
        <v>1139</v>
      </c>
      <c r="L1" s="3" t="s">
        <v>1140</v>
      </c>
      <c r="M1" s="3" t="s">
        <v>1141</v>
      </c>
      <c r="N1" s="3" t="s">
        <v>1142</v>
      </c>
    </row>
    <row r="2" customFormat="false" ht="15" hidden="false" customHeight="false" outlineLevel="0" collapsed="false">
      <c r="A2" s="20" t="s">
        <v>1143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7"/>
      <c r="M2" s="25"/>
      <c r="N2" s="27"/>
    </row>
    <row r="3" customFormat="false" ht="15" hidden="false" customHeight="false" outlineLevel="0" collapsed="false">
      <c r="A3" s="20" t="s">
        <v>1144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7"/>
      <c r="M3" s="25"/>
      <c r="N3" s="27"/>
    </row>
    <row r="4" customFormat="false" ht="15" hidden="false" customHeight="false" outlineLevel="0" collapsed="false">
      <c r="A4" s="20" t="s">
        <v>1145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7"/>
      <c r="M4" s="25"/>
      <c r="N4" s="27"/>
    </row>
    <row r="5" customFormat="false" ht="15" hidden="false" customHeight="false" outlineLevel="0" collapsed="false">
      <c r="A5" s="20" t="s">
        <v>1146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7"/>
      <c r="M5" s="25"/>
      <c r="N5" s="27"/>
    </row>
    <row r="6" customFormat="false" ht="15" hidden="false" customHeight="false" outlineLevel="0" collapsed="false">
      <c r="A6" s="20" t="s">
        <v>1147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7"/>
      <c r="M6" s="25"/>
      <c r="N6" s="27"/>
    </row>
    <row r="7" customFormat="false" ht="15" hidden="false" customHeight="false" outlineLevel="0" collapsed="false">
      <c r="A7" s="20" t="s">
        <v>1148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7"/>
      <c r="M7" s="25"/>
      <c r="N7" s="27"/>
    </row>
    <row r="8" customFormat="false" ht="15" hidden="false" customHeight="false" outlineLevel="0" collapsed="false">
      <c r="A8" s="20" t="s">
        <v>1149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7"/>
      <c r="M8" s="25"/>
      <c r="N8" s="27"/>
    </row>
    <row r="9" customFormat="false" ht="15" hidden="false" customHeight="false" outlineLevel="0" collapsed="false">
      <c r="A9" s="20" t="s">
        <v>1150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7"/>
      <c r="M9" s="25"/>
      <c r="N9" s="27"/>
    </row>
    <row r="10" customFormat="false" ht="15" hidden="false" customHeight="false" outlineLevel="0" collapsed="false">
      <c r="A10" s="20" t="s">
        <v>1151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7"/>
      <c r="M10" s="25"/>
      <c r="N10" s="27"/>
    </row>
    <row r="11" customFormat="false" ht="15" hidden="false" customHeight="false" outlineLevel="0" collapsed="false">
      <c r="A11" s="20" t="s">
        <v>1152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7"/>
      <c r="M11" s="25"/>
      <c r="N11" s="27"/>
    </row>
    <row r="12" customFormat="false" ht="15" hidden="false" customHeight="false" outlineLevel="0" collapsed="false">
      <c r="A12" s="20" t="s">
        <v>1153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7"/>
      <c r="M12" s="25"/>
      <c r="N12" s="27"/>
    </row>
    <row r="13" customFormat="false" ht="15" hidden="false" customHeight="false" outlineLevel="0" collapsed="false">
      <c r="A13" s="20" t="s">
        <v>1154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7"/>
      <c r="M13" s="25"/>
      <c r="N13" s="27"/>
    </row>
    <row r="14" customFormat="false" ht="15" hidden="false" customHeight="false" outlineLevel="0" collapsed="false">
      <c r="A14" s="20" t="s">
        <v>1155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7"/>
      <c r="M14" s="25"/>
      <c r="N14" s="27"/>
    </row>
    <row r="15" customFormat="false" ht="15" hidden="false" customHeight="false" outlineLevel="0" collapsed="false">
      <c r="A15" s="20" t="s">
        <v>1156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7"/>
      <c r="M15" s="25"/>
      <c r="N15" s="27"/>
    </row>
    <row r="16" customFormat="false" ht="15" hidden="false" customHeight="false" outlineLevel="0" collapsed="false">
      <c r="A16" s="20" t="s">
        <v>1157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7"/>
      <c r="M16" s="25"/>
      <c r="N16" s="27"/>
    </row>
    <row r="17" customFormat="false" ht="15" hidden="false" customHeight="false" outlineLevel="0" collapsed="false">
      <c r="A17" s="20" t="s">
        <v>1158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7"/>
      <c r="M17" s="25"/>
      <c r="N17" s="27"/>
    </row>
    <row r="18" customFormat="false" ht="15" hidden="false" customHeight="false" outlineLevel="0" collapsed="false">
      <c r="A18" s="20" t="s">
        <v>1159</v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7"/>
      <c r="M18" s="25"/>
      <c r="N18" s="27"/>
    </row>
    <row r="19" customFormat="false" ht="15" hidden="false" customHeight="false" outlineLevel="0" collapsed="false">
      <c r="A19" s="20" t="s">
        <v>1160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7"/>
      <c r="M19" s="25"/>
      <c r="N19" s="27"/>
    </row>
    <row r="20" customFormat="false" ht="15" hidden="false" customHeight="false" outlineLevel="0" collapsed="false">
      <c r="A20" s="20" t="s">
        <v>1161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7"/>
      <c r="M20" s="25"/>
      <c r="N20" s="27"/>
    </row>
    <row r="21" customFormat="false" ht="15" hidden="false" customHeight="false" outlineLevel="0" collapsed="false">
      <c r="A21" s="20" t="s">
        <v>1162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7"/>
      <c r="M21" s="25"/>
      <c r="N21" s="27"/>
    </row>
    <row r="22" customFormat="false" ht="15" hidden="false" customHeight="false" outlineLevel="0" collapsed="false">
      <c r="A22" s="20" t="s">
        <v>1163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7"/>
      <c r="M22" s="25"/>
      <c r="N22" s="27"/>
    </row>
    <row r="23" customFormat="false" ht="15" hidden="false" customHeight="false" outlineLevel="0" collapsed="false">
      <c r="A23" s="20" t="s">
        <v>1164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7"/>
      <c r="M23" s="25"/>
      <c r="N23" s="27"/>
    </row>
    <row r="24" customFormat="false" ht="15" hidden="false" customHeight="false" outlineLevel="0" collapsed="false">
      <c r="A24" s="20" t="s">
        <v>1165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7"/>
      <c r="M24" s="25"/>
      <c r="N24" s="27"/>
    </row>
    <row r="25" customFormat="false" ht="15" hidden="false" customHeight="false" outlineLevel="0" collapsed="false">
      <c r="A25" s="20" t="s">
        <v>1166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7"/>
      <c r="M25" s="25"/>
      <c r="N25" s="27"/>
    </row>
    <row r="26" customFormat="false" ht="15" hidden="false" customHeight="false" outlineLevel="0" collapsed="false">
      <c r="A26" s="20" t="s">
        <v>1167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7"/>
      <c r="M26" s="25"/>
      <c r="N26" s="27"/>
    </row>
    <row r="27" customFormat="false" ht="15" hidden="false" customHeight="false" outlineLevel="0" collapsed="false">
      <c r="A27" s="20" t="s">
        <v>1168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7"/>
      <c r="M27" s="25"/>
      <c r="N27" s="27"/>
    </row>
    <row r="28" customFormat="false" ht="15" hidden="false" customHeight="false" outlineLevel="0" collapsed="false">
      <c r="A28" s="20" t="s">
        <v>1169</v>
      </c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7"/>
      <c r="M28" s="25"/>
      <c r="N28" s="27"/>
    </row>
    <row r="29" customFormat="false" ht="15" hidden="false" customHeight="false" outlineLevel="0" collapsed="false">
      <c r="A29" s="20" t="s">
        <v>1170</v>
      </c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7"/>
      <c r="M29" s="25"/>
      <c r="N29" s="27"/>
    </row>
    <row r="30" customFormat="false" ht="15" hidden="false" customHeight="false" outlineLevel="0" collapsed="false">
      <c r="A30" s="20" t="s">
        <v>1171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7"/>
      <c r="M30" s="25"/>
      <c r="N30" s="27"/>
    </row>
    <row r="31" customFormat="false" ht="15" hidden="false" customHeight="false" outlineLevel="0" collapsed="false">
      <c r="A31" s="20" t="s">
        <v>1172</v>
      </c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7"/>
      <c r="M31" s="25"/>
      <c r="N31" s="27"/>
    </row>
    <row r="32" customFormat="false" ht="15" hidden="false" customHeight="false" outlineLevel="0" collapsed="false">
      <c r="A32" s="20" t="s">
        <v>1173</v>
      </c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7"/>
      <c r="M32" s="25"/>
      <c r="N32" s="27"/>
    </row>
    <row r="33" customFormat="false" ht="15" hidden="false" customHeight="false" outlineLevel="0" collapsed="false">
      <c r="A33" s="20" t="s">
        <v>1174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7"/>
      <c r="M33" s="25"/>
      <c r="N33" s="27"/>
    </row>
    <row r="34" customFormat="false" ht="15" hidden="false" customHeight="false" outlineLevel="0" collapsed="false">
      <c r="A34" s="20" t="s">
        <v>1175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7"/>
      <c r="M34" s="25"/>
      <c r="N34" s="27"/>
    </row>
    <row r="35" customFormat="false" ht="15" hidden="false" customHeight="false" outlineLevel="0" collapsed="false">
      <c r="A35" s="20" t="s">
        <v>1176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7"/>
      <c r="M35" s="25"/>
      <c r="N35" s="27"/>
    </row>
    <row r="36" customFormat="false" ht="15" hidden="false" customHeight="false" outlineLevel="0" collapsed="false">
      <c r="A36" s="20" t="s">
        <v>1177</v>
      </c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7"/>
      <c r="M36" s="25"/>
      <c r="N36" s="27"/>
    </row>
    <row r="37" customFormat="false" ht="15" hidden="false" customHeight="false" outlineLevel="0" collapsed="false">
      <c r="A37" s="20" t="s">
        <v>1178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7"/>
      <c r="M37" s="25"/>
      <c r="N37" s="27"/>
    </row>
    <row r="38" customFormat="false" ht="15" hidden="false" customHeight="false" outlineLevel="0" collapsed="false">
      <c r="A38" s="20" t="s">
        <v>1179</v>
      </c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7"/>
      <c r="M38" s="25"/>
      <c r="N38" s="27"/>
    </row>
    <row r="39" customFormat="false" ht="15" hidden="false" customHeight="false" outlineLevel="0" collapsed="false">
      <c r="A39" s="20" t="s">
        <v>1180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7"/>
      <c r="M39" s="25"/>
      <c r="N39" s="27"/>
    </row>
    <row r="40" customFormat="false" ht="15" hidden="false" customHeight="false" outlineLevel="0" collapsed="false">
      <c r="A40" s="20" t="s">
        <v>1181</v>
      </c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7"/>
      <c r="M40" s="25"/>
      <c r="N40" s="27"/>
    </row>
    <row r="41" customFormat="false" ht="15" hidden="false" customHeight="false" outlineLevel="0" collapsed="false">
      <c r="A41" s="20" t="s">
        <v>1182</v>
      </c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7"/>
      <c r="M41" s="25"/>
      <c r="N41" s="27"/>
    </row>
    <row r="42" customFormat="false" ht="15" hidden="false" customHeight="false" outlineLevel="0" collapsed="false">
      <c r="A42" s="20" t="s">
        <v>1183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7"/>
      <c r="M42" s="25"/>
      <c r="N42" s="27"/>
    </row>
    <row r="43" customFormat="false" ht="15" hidden="false" customHeight="false" outlineLevel="0" collapsed="false">
      <c r="A43" s="20" t="s">
        <v>1184</v>
      </c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7"/>
      <c r="M43" s="25"/>
      <c r="N43" s="27"/>
    </row>
    <row r="44" customFormat="false" ht="15" hidden="false" customHeight="false" outlineLevel="0" collapsed="false">
      <c r="A44" s="20" t="s">
        <v>1185</v>
      </c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7"/>
      <c r="M44" s="25"/>
      <c r="N44" s="27"/>
    </row>
    <row r="45" customFormat="false" ht="15" hidden="false" customHeight="false" outlineLevel="0" collapsed="false">
      <c r="A45" s="20" t="s">
        <v>1186</v>
      </c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7"/>
      <c r="M45" s="25"/>
      <c r="N45" s="27"/>
    </row>
    <row r="46" customFormat="false" ht="15" hidden="false" customHeight="false" outlineLevel="0" collapsed="false">
      <c r="A46" s="20" t="s">
        <v>1187</v>
      </c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7"/>
      <c r="M46" s="25"/>
      <c r="N46" s="27"/>
    </row>
    <row r="47" customFormat="false" ht="15" hidden="false" customHeight="false" outlineLevel="0" collapsed="false">
      <c r="A47" s="20" t="s">
        <v>1188</v>
      </c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7"/>
      <c r="M47" s="25"/>
      <c r="N47" s="27"/>
    </row>
    <row r="48" customFormat="false" ht="15" hidden="false" customHeight="false" outlineLevel="0" collapsed="false">
      <c r="A48" s="20" t="s">
        <v>1189</v>
      </c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7"/>
      <c r="M48" s="25"/>
      <c r="N48" s="27"/>
    </row>
    <row r="49" customFormat="false" ht="15" hidden="false" customHeight="false" outlineLevel="0" collapsed="false">
      <c r="A49" s="20" t="s">
        <v>1190</v>
      </c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7"/>
      <c r="M49" s="25"/>
      <c r="N49" s="27"/>
    </row>
    <row r="50" customFormat="false" ht="15" hidden="false" customHeight="false" outlineLevel="0" collapsed="false">
      <c r="A50" s="20" t="s">
        <v>1191</v>
      </c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7"/>
      <c r="M50" s="25"/>
      <c r="N50" s="27"/>
    </row>
    <row r="51" customFormat="false" ht="15" hidden="false" customHeight="false" outlineLevel="0" collapsed="false">
      <c r="A51" s="20" t="s">
        <v>1192</v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7"/>
      <c r="M51" s="25"/>
      <c r="N51" s="27"/>
    </row>
    <row r="52" customFormat="false" ht="15" hidden="false" customHeight="false" outlineLevel="0" collapsed="false">
      <c r="A52" s="20" t="s">
        <v>1193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7"/>
      <c r="M52" s="25"/>
      <c r="N52" s="27"/>
    </row>
    <row r="53" customFormat="false" ht="15" hidden="false" customHeight="false" outlineLevel="0" collapsed="false">
      <c r="A53" s="20" t="s">
        <v>1194</v>
      </c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7"/>
      <c r="M53" s="25"/>
      <c r="N53" s="27"/>
    </row>
    <row r="54" customFormat="false" ht="15" hidden="false" customHeight="false" outlineLevel="0" collapsed="false">
      <c r="A54" s="20" t="s">
        <v>1195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7"/>
      <c r="M54" s="25"/>
      <c r="N54" s="27"/>
    </row>
    <row r="55" customFormat="false" ht="15" hidden="false" customHeight="false" outlineLevel="0" collapsed="false">
      <c r="A55" s="20" t="s">
        <v>1196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7"/>
      <c r="M55" s="25"/>
      <c r="N55" s="27"/>
    </row>
    <row r="56" customFormat="false" ht="15" hidden="false" customHeight="false" outlineLevel="0" collapsed="false">
      <c r="A56" s="20" t="s">
        <v>1197</v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7"/>
      <c r="M56" s="25"/>
      <c r="N56" s="27"/>
    </row>
    <row r="57" customFormat="false" ht="15" hidden="false" customHeight="false" outlineLevel="0" collapsed="false">
      <c r="A57" s="20" t="s">
        <v>1198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7"/>
      <c r="M57" s="25"/>
      <c r="N57" s="27"/>
    </row>
    <row r="58" customFormat="false" ht="15" hidden="false" customHeight="false" outlineLevel="0" collapsed="false">
      <c r="A58" s="20" t="s">
        <v>1199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7"/>
      <c r="M58" s="25"/>
      <c r="N58" s="27"/>
    </row>
    <row r="59" customFormat="false" ht="15" hidden="false" customHeight="false" outlineLevel="0" collapsed="false">
      <c r="A59" s="20" t="s">
        <v>1200</v>
      </c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7"/>
      <c r="M59" s="25"/>
      <c r="N59" s="27"/>
    </row>
    <row r="60" customFormat="false" ht="15" hidden="false" customHeight="false" outlineLevel="0" collapsed="false">
      <c r="A60" s="20" t="s">
        <v>1201</v>
      </c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7"/>
      <c r="M60" s="25"/>
      <c r="N60" s="27"/>
    </row>
    <row r="61" customFormat="false" ht="15" hidden="false" customHeight="false" outlineLevel="0" collapsed="false">
      <c r="A61" s="20" t="s">
        <v>1202</v>
      </c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7"/>
      <c r="M61" s="25"/>
      <c r="N61" s="27"/>
    </row>
  </sheetData>
  <conditionalFormatting sqref="G2:G61">
    <cfRule type="cellIs" priority="2" operator="equal" aboveAverage="0" equalAverage="0" bottom="0" percent="0" rank="0" text="" dxfId="1">
      <formula>"Kritis"</formula>
    </cfRule>
  </conditionalFormatting>
  <dataValidations count="3">
    <dataValidation allowBlank="true" errorStyle="stop" operator="between" showDropDown="false" showErrorMessage="false" showInputMessage="false" sqref="G2:G61" type="list">
      <formula1>"Kritis,Tinggi,Sedang,Rendah"</formula1>
      <formula2>0</formula2>
    </dataValidation>
    <dataValidation allowBlank="true" errorStyle="stop" operator="between" showDropDown="false" showErrorMessage="false" showInputMessage="false" sqref="J2:J61" type="list">
      <formula1>"Baru,Sedang diperbaiki,Siap diuji ulang,Ditutup,Ditolak"</formula1>
      <formula2>0</formula2>
    </dataValidation>
    <dataValidation allowBlank="true" errorStyle="stop" operator="between" showDropDown="false" showErrorMessage="false" showInputMessage="false" sqref="B2:B61" type="list">
      <formula1>'Uji QA'!$A$2:$A$129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2026-10-14T03:19:27Z</dcterms:created>
  <dc:creator>openpyxl</dc:creator>
  <dc:description/>
  <dc:language>en-US</dc:language>
  <cp:lastModifiedBy/>
  <dcterms:modified xsi:type="dcterms:W3CDTF">2026-10-14T03:19:27Z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