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aftar Fitur" sheetId="2" state="visible" r:id="rId4"/>
    <sheet name="Roadmap" sheetId="3" state="visible" r:id="rId5"/>
  </sheets>
  <definedNames>
    <definedName function="false" hidden="true" localSheetId="1" name="_xlnm._FilterDatabase" vbProcedure="false">'Daftar Fitur'!$A$1:$K$101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<sst xmlns="http://schemas.openxmlformats.org/spreadsheetml/2006/main" count="740" uniqueCount="419">
  <si>
    <t xml:space="preserve">Rancangan Fitur Marketplace UMKM — Gap Analysis Repository myumkm</t>
  </si>
  <si>
    <t xml:space="preserve">Status dihitung otomatis dari sheet "Daftar Fitur" (kolom E). Ubah status di sana, ringkasan ikut berubah.</t>
  </si>
  <si>
    <t xml:space="preserve">Kelompok Pengguna</t>
  </si>
  <si>
    <t xml:space="preserve">Total Fitur</t>
  </si>
  <si>
    <t xml:space="preserve">✅ Ada</t>
  </si>
  <si>
    <t xml:space="preserve">❌ Belum</t>
  </si>
  <si>
    <t xml:space="preserve">% Selesai</t>
  </si>
  <si>
    <t xml:space="preserve">⭐ Pembeda</t>
  </si>
  <si>
    <t xml:space="preserve">⭐ Pembeda yang Belum Ada</t>
  </si>
  <si>
    <t xml:space="preserve">🧓 Low-tech</t>
  </si>
  <si>
    <t xml:space="preserve">Pembeli</t>
  </si>
  <si>
    <t xml:space="preserve">Penjual / Pelaku UMKM</t>
  </si>
  <si>
    <t xml:space="preserve">Admin / Pengelola Platform</t>
  </si>
  <si>
    <t xml:space="preserve">TOTAL</t>
  </si>
  <si>
    <t xml:space="preserve">Keterangan</t>
  </si>
  <si>
    <t xml:space="preserve">Ada</t>
  </si>
  <si>
    <t xml:space="preserve">Fitur inti sudah ada di kode repo (catatan menjelaskan batasan bila sebagian).</t>
  </si>
  <si>
    <t xml:space="preserve">Belum</t>
  </si>
  <si>
    <t xml:space="preserve">Fitur belum ada di repo.</t>
  </si>
  <si>
    <t xml:space="preserve">Fitur yang membedakan dari marketplace besar.</t>
  </si>
  <si>
    <t xml:space="preserve">Dirancang ramah UMKM/pengguna gagap teknologi.</t>
  </si>
  <si>
    <t xml:space="preserve">Kolom Prioritas</t>
  </si>
  <si>
    <t xml:space="preserve">Sel kuning di "Daftar Fitur" kolom K: diisi tim (dropdown P1–P4).</t>
  </si>
  <si>
    <t xml:space="preserve">Sumber</t>
  </si>
  <si>
    <t xml:space="preserve">Analisis kode repo xaralien/myumkm (CodeIgniter 3), per 13 Okt 2026. Dibaca dari kode, aplikasi tidak dijalankan.</t>
  </si>
  <si>
    <t xml:space="preserve">No</t>
  </si>
  <si>
    <t xml:space="preserve">Sub-kategori</t>
  </si>
  <si>
    <t xml:space="preserve">Fitur</t>
  </si>
  <si>
    <t xml:space="preserve">Status di Repo</t>
  </si>
  <si>
    <t xml:space="preserve">Pembeda (⭐)</t>
  </si>
  <si>
    <t xml:space="preserve">Low-tech Friendly (🧓)</t>
  </si>
  <si>
    <t xml:space="preserve">Pain Point</t>
  </si>
  <si>
    <t xml:space="preserve">Fungsi Utama</t>
  </si>
  <si>
    <t xml:space="preserve">Bukti di Repo / Catatan</t>
  </si>
  <si>
    <t xml:space="preserve">Prioritas</t>
  </si>
  <si>
    <t xml:space="preserve">Akun &amp; Akses</t>
  </si>
  <si>
    <t xml:space="preserve">Daftar &amp; masuk akun</t>
  </si>
  <si>
    <t xml:space="preserve">Pembeli perlu riwayat pesanan tersimpan</t>
  </si>
  <si>
    <t xml:space="preserve">Registrasi dengan nama, email, nomor WhatsApp.</t>
  </si>
  <si>
    <t xml:space="preserve">Auth.php</t>
  </si>
  <si>
    <t xml:space="preserve">Belanja tanpa akun (guest checkout)</t>
  </si>
  <si>
    <t xml:space="preserve">Ya</t>
  </si>
  <si>
    <t xml:space="preserve">Pembeli lokal malas daftar hanya untuk sekali beli</t>
  </si>
  <si>
    <t xml:space="preserve">Checkout cukup nama + nomor WA; pesanan dibuka lewat token.</t>
  </si>
  <si>
    <t xml:space="preserve">orders.user_id boleh NULL, Checkout::done/{token}</t>
  </si>
  <si>
    <t xml:space="preserve">Lacak pesanan dengan nomor pesanan + nomor WA</t>
  </si>
  <si>
    <t xml:space="preserve">Pembeli tamu tidak punya akun untuk mengecek status</t>
  </si>
  <si>
    <t xml:space="preserve">Form lacak sederhana tanpa login.</t>
  </si>
  <si>
    <t xml:space="preserve">Track.php</t>
  </si>
  <si>
    <t xml:space="preserve">Login OTP WhatsApp / tanpa kata sandi</t>
  </si>
  <si>
    <t xml:space="preserve">Pembeli sering lupa sandi</t>
  </si>
  <si>
    <t xml:space="preserve">Masuk cukup dengan kode OTP dikirim ke WA.</t>
  </si>
  <si>
    <t xml:space="preserve">Lupa kata sandi mandiri</t>
  </si>
  <si>
    <t xml:space="preserve">Saat ini reset sandi harus lewat admin</t>
  </si>
  <si>
    <t xml:space="preserve">Tautan/OTP reset sandi sendiri.</t>
  </si>
  <si>
    <t xml:space="preserve">Repo hanya punya reset oleh admin: admin/Users::sandi</t>
  </si>
  <si>
    <t xml:space="preserve">Profil &amp; ubah sandi</t>
  </si>
  <si>
    <t xml:space="preserve">Data kontak berubah</t>
  </si>
  <si>
    <t xml:space="preserve">Ubah nama, foto, nomor, sandi.</t>
  </si>
  <si>
    <t xml:space="preserve">Akun::profil</t>
  </si>
  <si>
    <t xml:space="preserve">Penemuan Produk</t>
  </si>
  <si>
    <t xml:space="preserve">Katalog berbasis lokasi ("dekat saya")</t>
  </si>
  <si>
    <t xml:space="preserve">Pembeli ingin produk UMKM tetangga, ongkir murah &amp; cepat</t>
  </si>
  <si>
    <t xml:space="preserve">Pilih kecamatan atau titik GPS, urutan produk mendahulukan toko terdekat.</t>
  </si>
  <si>
    <t xml:space="preserve">Location.php, Product_model::proximity_sql, toko_sekitar</t>
  </si>
  <si>
    <t xml:space="preserve">Pencarian &amp; filter</t>
  </si>
  <si>
    <t xml:space="preserve">Sulit menemukan produk spesifik</t>
  </si>
  <si>
    <t xml:space="preserve">Cari kata kunci, filter kategori &amp; rentang harga.</t>
  </si>
  <si>
    <t xml:space="preserve">Shop.php, Product_model::build_filter, price_range</t>
  </si>
  <si>
    <t xml:space="preserve">Urutkan hasil</t>
  </si>
  <si>
    <t xml:space="preserve">Ingin yang termurah/terbaik dulu</t>
  </si>
  <si>
    <t xml:space="preserve">Terbaru, ulasan terbaik, harga, nama.</t>
  </si>
  <si>
    <t xml:space="preserve">Product_model::sort_options</t>
  </si>
  <si>
    <t xml:space="preserve">Kategori UMKM dengan ikon</t>
  </si>
  <si>
    <t xml:space="preserve">Pengguna awam lebih cepat mengenali gambar daripada teks</t>
  </si>
  <si>
    <t xml:space="preserve">Kartu kategori berikon di beranda.</t>
  </si>
  <si>
    <t xml:space="preserve">15_kategori_umkm.sql</t>
  </si>
  <si>
    <t xml:space="preserve">Halaman toko</t>
  </si>
  <si>
    <t xml:space="preserve">Pembeli ingin melihat reputasi &amp; produk lain penjual</t>
  </si>
  <si>
    <t xml:space="preserve">Profil toko, nilai rata-rata, daftar produk.</t>
  </si>
  <si>
    <t xml:space="preserve">Toko.php, parts/toko_nilai.php</t>
  </si>
  <si>
    <t xml:space="preserve">Detail produk dengan varian &amp; add-on</t>
  </si>
  <si>
    <t xml:space="preserve">Produk UMKM sering punya ukuran/rasa/tambahan</t>
  </si>
  <si>
    <t xml:space="preserve">Pilih varian (dengan foto &amp; selisih harga) dan add-on.</t>
  </si>
  <si>
    <t xml:space="preserve">Product_model::variants, addons_for_product</t>
  </si>
  <si>
    <t xml:space="preserve">Wishlist / simpan produk favorit</t>
  </si>
  <si>
    <t xml:space="preserve">Pembeli ingin membeli nanti</t>
  </si>
  <si>
    <t xml:space="preserve">Tombol ♥ dan daftar favorit.</t>
  </si>
  <si>
    <t xml:space="preserve">Ikuti toko</t>
  </si>
  <si>
    <t xml:space="preserve">Pelanggan setia tidak tahu kalau toko langganannya punya produk baru</t>
  </si>
  <si>
    <t xml:space="preserve">Follow toko + kabar produk baru.</t>
  </si>
  <si>
    <t xml:space="preserve">Rekomendasi &amp; "terlaris"</t>
  </si>
  <si>
    <t xml:space="preserve">Pembeli bingung memilih</t>
  </si>
  <si>
    <t xml:space="preserve">Rekomendasi berdasarkan riwayat, label terlaris di sekitar.</t>
  </si>
  <si>
    <t xml:space="preserve">Label "Produk Lokal / Halal / P-IRT / Buatan Tangan"</t>
  </si>
  <si>
    <t xml:space="preserve">Pembeli ingin yakin akan keamanan &amp; keaslian produk UMKM</t>
  </si>
  <si>
    <t xml:space="preserve">Lencana terverifikasi di kartu produk.</t>
  </si>
  <si>
    <t xml:space="preserve">Bagikan produk ke WhatsApp</t>
  </si>
  <si>
    <t xml:space="preserve">Promosi UMKM paling efektif lewat grup WA</t>
  </si>
  <si>
    <t xml:space="preserve">Tombol share dengan pesan siap kirim.</t>
  </si>
  <si>
    <t xml:space="preserve">Ada kode tombol WA di v_produk.php tapi dikomentari</t>
  </si>
  <si>
    <t xml:space="preserve">Keranjang, Checkout &amp; Pembayaran</t>
  </si>
  <si>
    <t xml:space="preserve">Keranjang &amp; "Beli Langsung"</t>
  </si>
  <si>
    <t xml:space="preserve">Ingin beli cepat satu barang</t>
  </si>
  <si>
    <t xml:space="preserve">Keranjang per toko dan jalur beli langsung.</t>
  </si>
  <si>
    <t xml:space="preserve">Cart.php, Cart_lib::mode_langsung</t>
  </si>
  <si>
    <t xml:space="preserve">Buku alamat</t>
  </si>
  <si>
    <t xml:space="preserve">Mengetik alamat berulang; penerima sering bukan pembeli</t>
  </si>
  <si>
    <t xml:space="preserve">Simpan banyak alamat ("Rumah", "Rumah Ibu"), pilih saat checkout.</t>
  </si>
  <si>
    <t xml:space="preserve">22_buku_alamat.sql, Akun::alamat</t>
  </si>
  <si>
    <t xml:space="preserve">Ongkir otomatis berdasarkan wilayah</t>
  </si>
  <si>
    <t xml:space="preserve">Ongkir tidak jelas sebelum bayar</t>
  </si>
  <si>
    <t xml:space="preserve">Tarif kecamatan/kota/provinsi/luar provinsi dari toko, plus gratis ongkir minimal belanja.</t>
  </si>
  <si>
    <t xml:space="preserve">Cart_lib::shipping_fee</t>
  </si>
  <si>
    <t xml:space="preserve">Pembayaran online (VA/QRIS/e-wallet via Duitku)</t>
  </si>
  <si>
    <t xml:space="preserve">Transfer manual rawan salah &amp; lama dicek</t>
  </si>
  <si>
    <t xml:space="preserve">Pembayaran terverifikasi otomatis via callback.</t>
  </si>
  <si>
    <t xml:space="preserve">Payment.php, libraries/Duitku.php</t>
  </si>
  <si>
    <t xml:space="preserve">COD / bayar di tempat</t>
  </si>
  <si>
    <t xml:space="preserve">Banyak pembeli daerah belum percaya bayar di muka</t>
  </si>
  <si>
    <t xml:space="preserve">Opsi COD dengan batas nominal per toko.</t>
  </si>
  <si>
    <t xml:space="preserve">Ada sisa logika cod di Payment.php, tetapi Checkout::place selalu memakai Duitku</t>
  </si>
  <si>
    <t xml:space="preserve">Voucher &amp; promo</t>
  </si>
  <si>
    <t xml:space="preserve">Pembeli mencari potongan harga</t>
  </si>
  <si>
    <t xml:space="preserve">Kode voucher toko/platform.</t>
  </si>
  <si>
    <t xml:space="preserve">Checkout multi-toko</t>
  </si>
  <si>
    <t xml:space="preserve">Keranjang saat ini hanya untuk satu toko</t>
  </si>
  <si>
    <t xml:space="preserve">Beli dari beberapa toko dalam satu pembayaran.</t>
  </si>
  <si>
    <t xml:space="preserve">Pre-order fleksibel (DP, tanggal ambil, kuota)</t>
  </si>
  <si>
    <t xml:space="preserve">Kue, katering, kerajinan dibuat berdasarkan pesanan</t>
  </si>
  <si>
    <t xml:space="preserve">Pilih tanggal kirim/ambil, bayar DP, kuota harian.</t>
  </si>
  <si>
    <t xml:space="preserve">Repo baru punya waktu_proses_hari di level toko</t>
  </si>
  <si>
    <t xml:space="preserve">Ambil sendiri di toko (pickup)</t>
  </si>
  <si>
    <t xml:space="preserve">Tetangga satu kecamatan lebih suka mengambil sendiri</t>
  </si>
  <si>
    <t xml:space="preserve">Opsi ongkir 0 + jam ambil.</t>
  </si>
  <si>
    <t xml:space="preserve">Pasca-Pembelian</t>
  </si>
  <si>
    <t xml:space="preserve">Riwayat &amp; status pesanan</t>
  </si>
  <si>
    <t xml:space="preserve">Pembeli cemas menunggu</t>
  </si>
  <si>
    <t xml:space="preserve">Daftar pesanan dengan linimasa status &amp; nomor resi.</t>
  </si>
  <si>
    <t xml:space="preserve">Akun::pesanan, Order_model::logs</t>
  </si>
  <si>
    <t xml:space="preserve">Batalkan pesanan dengan alasan</t>
  </si>
  <si>
    <t xml:space="preserve">Salah pesan</t>
  </si>
  <si>
    <t xml:space="preserve">Pembatalan oleh pembeli, stok dikembalikan.</t>
  </si>
  <si>
    <t xml:space="preserve">Checkout::batal, Stok_lib::kembalikan</t>
  </si>
  <si>
    <t xml:space="preserve">Konfirmasi pesanan diterima</t>
  </si>
  <si>
    <t xml:space="preserve">Dana penjual tertahan tanpa kepastian</t>
  </si>
  <si>
    <t xml:space="preserve">Tombol "Pesanan diterima".</t>
  </si>
  <si>
    <t xml:space="preserve">Checkout::terima</t>
  </si>
  <si>
    <t xml:space="preserve">Ajukan pengembalian dana (refund)</t>
  </si>
  <si>
    <t xml:space="preserve">Barang tidak sesuai</t>
  </si>
  <si>
    <t xml:space="preserve">Form refund yang ditinjau penjual lalu diproses admin.</t>
  </si>
  <si>
    <t xml:space="preserve">Checkout::refund, Refund_model</t>
  </si>
  <si>
    <t xml:space="preserve">Ulasan dengan foto/video</t>
  </si>
  <si>
    <t xml:space="preserve">Pembeli lain butuh bukti nyata</t>
  </si>
  <si>
    <t xml:space="preserve">Rating bintang + media, hanya dari pembeli asli, filter ulasan.</t>
  </si>
  <si>
    <t xml:space="preserve">Ulasan.php, 19_ulasan.sql</t>
  </si>
  <si>
    <t xml:space="preserve">Chat dengan toko (sebelum &amp; sesudah beli) + lampiran</t>
  </si>
  <si>
    <t xml:space="preserve">Ingin bertanya sebelum membeli tanpa pindah ke WA</t>
  </si>
  <si>
    <t xml:space="preserve">"Tanya ke toko" dan percakapan per pesanan.</t>
  </si>
  <si>
    <t xml:space="preserve">Chat.php, 18_tanya_toko.sql</t>
  </si>
  <si>
    <t xml:space="preserve">Notifikasi di dalam situs</t>
  </si>
  <si>
    <t xml:space="preserve">Tidak tahu ada balasan/perubahan status</t>
  </si>
  <si>
    <t xml:space="preserve">Lonceng notifikasi &amp; inbox.</t>
  </si>
  <si>
    <t xml:space="preserve">Akun::notif, inbox_json</t>
  </si>
  <si>
    <t xml:space="preserve">Notifikasi WhatsApp / email otomatis</t>
  </si>
  <si>
    <t xml:space="preserve">Pengguna jarang membuka web, tapi selalu membuka WA</t>
  </si>
  <si>
    <t xml:space="preserve">Kabar status pesanan dikirim ke WA.</t>
  </si>
  <si>
    <t xml:space="preserve">Pengalaman &amp; Aksesibilitas</t>
  </si>
  <si>
    <t xml:space="preserve">Tampilan khusus HP otomatis</t>
  </si>
  <si>
    <t xml:space="preserve">Mayoritas pengguna UMKM memakai HP murah</t>
  </si>
  <si>
    <t xml:space="preserve">Deteksi perangkat &amp; tampilan mobile terpisah, bisa ditukar manual.</t>
  </si>
  <si>
    <t xml:space="preserve">Tampilan_lib, views/mobile/</t>
  </si>
  <si>
    <t xml:space="preserve">PWA / mode hemat kuota</t>
  </si>
  <si>
    <t xml:space="preserve">Sinyal lemah di daerah</t>
  </si>
  <si>
    <t xml:space="preserve">Bisa dipasang di layar utama, gambar ringan, cache offline.</t>
  </si>
  <si>
    <t xml:space="preserve">Mode huruf besar &amp; bahasa daerah</t>
  </si>
  <si>
    <t xml:space="preserve">Pengguna lansia/kurang terbiasa bahasa formal</t>
  </si>
  <si>
    <t xml:space="preserve">Pengaturan ukuran huruf, pilihan bahasa.</t>
  </si>
  <si>
    <t xml:space="preserve">Onboarding &amp; Profil Toko</t>
  </si>
  <si>
    <t xml:space="preserve">Buka toko langsung dari akun pembeli</t>
  </si>
  <si>
    <t xml:space="preserve">Pendaftaran penjual di marketplace besar panjang &amp; membingungkan</t>
  </si>
  <si>
    <t xml:space="preserve">Satu akun = satu toko, form singkat.</t>
  </si>
  <si>
    <t xml:space="preserve">Akun::buka_toko</t>
  </si>
  <si>
    <t xml:space="preserve">Profil toko dengan titik peta</t>
  </si>
  <si>
    <t xml:space="preserve">Pembeli &amp; kurir sulit menemukan lokasi</t>
  </si>
  <si>
    <t xml:space="preserve">Alamat, kecamatan, titik koordinat via peta (Leaflet/OSM).</t>
  </si>
  <si>
    <t xml:space="preserve">Seller::update_profile, valid_koordinat</t>
  </si>
  <si>
    <t xml:space="preserve">Rekening pencairan</t>
  </si>
  <si>
    <t xml:space="preserve">Penjual perlu tempat menerima uang</t>
  </si>
  <si>
    <t xml:space="preserve">Simpan bank, nomor, atas nama.</t>
  </si>
  <si>
    <t xml:space="preserve">Seller::rekening</t>
  </si>
  <si>
    <t xml:space="preserve">Wizard onboarding bertahap + video panduan</t>
  </si>
  <si>
    <t xml:space="preserve">UMKM gaptek bingung harus mulai dari mana</t>
  </si>
  <si>
    <t xml:space="preserve">Checklist "Toko siap jualan" (foto profil → produk pertama → ongkir → rekening) dengan video 1 menit per langkah.</t>
  </si>
  <si>
    <t xml:space="preserve">Bantuan legalitas (NIB, P-IRT, Halal)</t>
  </si>
  <si>
    <t xml:space="preserve">UMKM sulit naik kelas karena legalitas</t>
  </si>
  <si>
    <t xml:space="preserve">Panduan langkah-langkah, unggah dokumen, lencana terverifikasi di toko.</t>
  </si>
  <si>
    <t xml:space="preserve">Mode libur / tutup sementara</t>
  </si>
  <si>
    <t xml:space="preserve">Penjual pulang kampung, pesanan tetap masuk</t>
  </si>
  <si>
    <t xml:space="preserve">Toggle libur dengan tanggal buka kembali.</t>
  </si>
  <si>
    <t xml:space="preserve">Kini hanya admin yang dapat menonaktifkan toko</t>
  </si>
  <si>
    <t xml:space="preserve">Manajemen Produk</t>
  </si>
  <si>
    <t xml:space="preserve">Tambah/ubah/aktifkan produk</t>
  </si>
  <si>
    <t xml:space="preserve">Katalog perlu diperbarui cepat</t>
  </si>
  <si>
    <t xml:space="preserve">Form produk, toggle aktif/nonaktif.</t>
  </si>
  <si>
    <t xml:space="preserve">Seller::form/save/toggle</t>
  </si>
  <si>
    <t xml:space="preserve">Varian &amp; add-on dengan foto</t>
  </si>
  <si>
    <t xml:space="preserve">Satu produk banyak pilihan</t>
  </si>
  <si>
    <t xml:space="preserve">Varian (selisih harga + gambar), add-on opsional.</t>
  </si>
  <si>
    <t xml:space="preserve">v_product_form.php</t>
  </si>
  <si>
    <t xml:space="preserve">Stok produk otomatis</t>
  </si>
  <si>
    <t xml:space="preserve">Overselling</t>
  </si>
  <si>
    <t xml:space="preserve">Stok dipotong saat lunas, dikembalikan saat batal.</t>
  </si>
  <si>
    <t xml:space="preserve">Stok_lib</t>
  </si>
  <si>
    <t xml:space="preserve">Cari &amp; urutkan produk di panel</t>
  </si>
  <si>
    <t xml:space="preserve">Sulit mengelola katalog besar</t>
  </si>
  <si>
    <t xml:space="preserve">Pencarian &amp; sortir server-side dengan paginasi.</t>
  </si>
  <si>
    <t xml:space="preserve">Seller::index</t>
  </si>
  <si>
    <t xml:space="preserve">AI penulis deskripsi produk (dari nama + foto)</t>
  </si>
  <si>
    <t xml:space="preserve">UMKM tidak pandai menulis copywriting</t>
  </si>
  <si>
    <t xml:space="preserve">Satu klik menghasilkan deskripsi; ada kuota pemakaian.</t>
  </si>
  <si>
    <t xml:space="preserve">Ai_lib::deskripsi_produk, Seller::deskripsi</t>
  </si>
  <si>
    <t xml:space="preserve">Kompres/rapikan gambar otomatis</t>
  </si>
  <si>
    <t xml:space="preserve">Foto HP berukuran besar memperlambat situs</t>
  </si>
  <si>
    <t xml:space="preserve">Pemrosesan gambar saat unggah.</t>
  </si>
  <si>
    <t xml:space="preserve">gambar_helper.php, tools/rapikan_gambar_lama.php</t>
  </si>
  <si>
    <t xml:space="preserve">Tambah produk dari foto saja (AI isi nama, kategori, harga saran)</t>
  </si>
  <si>
    <t xml:space="preserve">Form panjang menakutkan</t>
  </si>
  <si>
    <t xml:space="preserve">Foto → draf produk lengkap, penjual tinggal konfirmasi.</t>
  </si>
  <si>
    <t xml:space="preserve">Peringatan stok menipis</t>
  </si>
  <si>
    <t xml:space="preserve">Kehabisan stok tanpa sadar</t>
  </si>
  <si>
    <t xml:space="preserve">Notifikasi saat stok di bawah ambang.</t>
  </si>
  <si>
    <t xml:space="preserve">Unggah massal (Excel/CSV) &amp; duplikat produk</t>
  </si>
  <si>
    <t xml:space="preserve">Input satu per satu melelahkan</t>
  </si>
  <si>
    <t xml:space="preserve">Template Excel sederhana, tombol "duplikat".</t>
  </si>
  <si>
    <t xml:space="preserve">Harga grosir / minimal beli bertingkat</t>
  </si>
  <si>
    <t xml:space="preserve">UMKM juga melayani reseller</t>
  </si>
  <si>
    <t xml:space="preserve">Harga berbeda berdasarkan jumlah.</t>
  </si>
  <si>
    <t xml:space="preserve">Pengaturan pre-order per produk</t>
  </si>
  <si>
    <t xml:space="preserve">Produk dibuat sesuai pesanan</t>
  </si>
  <si>
    <t xml:space="preserve">Lama produksi per produk, kuota harian, DP, kalender tanggal tersedia.</t>
  </si>
  <si>
    <t xml:space="preserve">Pesanan &amp; Pengiriman</t>
  </si>
  <si>
    <t xml:space="preserve">Alur status pesanan satu tombol + Undo 15 menit</t>
  </si>
  <si>
    <t xml:space="preserve">Penjual gaptek takut salah klik</t>
  </si>
  <si>
    <t xml:space="preserve">Tombol "lanjut ke status berikutnya" dan pembatalan aksi selama 15 menit.</t>
  </si>
  <si>
    <t xml:space="preserve">Seller::ubah_status, undo_status, UNDO_DETIK</t>
  </si>
  <si>
    <t xml:space="preserve">Antrean pesanan berprioritas</t>
  </si>
  <si>
    <t xml:space="preserve">Pesanan penting tertimbun</t>
  </si>
  <si>
    <t xml:space="preserve">Pesanan lunas yang belum diproses tampil paling atas.</t>
  </si>
  <si>
    <t xml:space="preserve">Seller::orders</t>
  </si>
  <si>
    <t xml:space="preserve">Kurir lokal / antar sendiri dengan tarif bertingkat</t>
  </si>
  <si>
    <t xml:space="preserve">Tarif ekspedisi nasional mahal untuk pengiriman dekat</t>
  </si>
  <si>
    <t xml:space="preserve">Penjual menetapkan ongkir sendiri per kecamatan/kota/provinsi/luar, resi opsional.</t>
  </si>
  <si>
    <t xml:space="preserve">Cart_lib::shipping_fee, 23_ongkir_luar.sql</t>
  </si>
  <si>
    <t xml:space="preserve">Gratis ongkir minimal belanja per toko</t>
  </si>
  <si>
    <t xml:space="preserve">Butuh pemicu pembelian lebih banyak</t>
  </si>
  <si>
    <t xml:space="preserve">Atur batas nominal gratis ongkir.</t>
  </si>
  <si>
    <t xml:space="preserve">gratis_ongkir_min</t>
  </si>
  <si>
    <t xml:space="preserve">Waktu proses pesanan</t>
  </si>
  <si>
    <t xml:space="preserve">Pembeli menuntut cepat padahal produk dibuat dulu</t>
  </si>
  <si>
    <t xml:space="preserve">Toko mengatur 1–30 hari waktu proses.</t>
  </si>
  <si>
    <t xml:space="preserve">waktu_proses_hari</t>
  </si>
  <si>
    <t xml:space="preserve">Kirim foto bukti paket ke pembeli</t>
  </si>
  <si>
    <t xml:space="preserve">Sengketa "barang tidak sesuai"</t>
  </si>
  <si>
    <t xml:space="preserve">Foto tersimpan di percakapan pesanan.</t>
  </si>
  <si>
    <t xml:space="preserve">Seller::kirim_foto</t>
  </si>
  <si>
    <t xml:space="preserve">Batalkan pesanan oleh penjual</t>
  </si>
  <si>
    <t xml:space="preserve">Stok habis/bahan tidak tersedia</t>
  </si>
  <si>
    <t xml:space="preserve">Pembatalan beralasan + pengembalian stok.</t>
  </si>
  <si>
    <t xml:space="preserve">Seller::batal_pesanan</t>
  </si>
  <si>
    <t xml:space="preserve">Hubungi pembeli via WhatsApp</t>
  </si>
  <si>
    <t xml:space="preserve">Butuh konfirmasi cepat</t>
  </si>
  <si>
    <t xml:space="preserve">Tautan wa.me ke nomor pembeli.</t>
  </si>
  <si>
    <t xml:space="preserve">seller/v_orders.php</t>
  </si>
  <si>
    <t xml:space="preserve">Integrasi ekspedisi &amp; cek resi otomatis (JNE, J&amp;T, GoSend, Grab)</t>
  </si>
  <si>
    <t xml:space="preserve">Penjual luar kota harus cek tarif manual</t>
  </si>
  <si>
    <t xml:space="preserve">Tarif real-time dan pelacakan otomatis via agregator.</t>
  </si>
  <si>
    <t xml:space="preserve">Cetak label pengiriman &amp; nota/struk</t>
  </si>
  <si>
    <t xml:space="preserve">Menulis alamat tangan memakan waktu</t>
  </si>
  <si>
    <t xml:space="preserve">Cetak label + invoice PDF / printer thermal.</t>
  </si>
  <si>
    <t xml:space="preserve">Notifikasi pesanan baru ke WhatsApp penjual</t>
  </si>
  <si>
    <t xml:space="preserve">Penjual tidak selalu membuka panel</t>
  </si>
  <si>
    <t xml:space="preserve">Pesan WA otomatis saat ada pesanan lunas.</t>
  </si>
  <si>
    <t xml:space="preserve">Komunikasi &amp; Reputasi</t>
  </si>
  <si>
    <t xml:space="preserve">Inbox chat pembeli</t>
  </si>
  <si>
    <t xml:space="preserve">Pertanyaan tersebar di WA pribadi</t>
  </si>
  <si>
    <t xml:space="preserve">Inbox terpusat per pembeli/pesanan.</t>
  </si>
  <si>
    <t xml:space="preserve">Seller::pesan, chat, inbox_json</t>
  </si>
  <si>
    <t xml:space="preserve">Balas ulasan</t>
  </si>
  <si>
    <t xml:space="preserve">Ulasan buruk tidak bisa diklarifikasi</t>
  </si>
  <si>
    <t xml:space="preserve">Balasan publik penjual.</t>
  </si>
  <si>
    <t xml:space="preserve">Seller::balas, Review_model::balas</t>
  </si>
  <si>
    <t xml:space="preserve">Kelola refund</t>
  </si>
  <si>
    <t xml:space="preserve">Keluhan butuh alur jelas</t>
  </si>
  <si>
    <t xml:space="preserve">Setujui/tolak permintaan refund.</t>
  </si>
  <si>
    <t xml:space="preserve">Seller::refund, refund_putus</t>
  </si>
  <si>
    <t xml:space="preserve">Balasan cepat (template chat)</t>
  </si>
  <si>
    <t xml:space="preserve">Pertanyaan berulang ("ready kak?")</t>
  </si>
  <si>
    <t xml:space="preserve">Template jawaban satu ketuk.</t>
  </si>
  <si>
    <t xml:space="preserve">Keuangan &amp; Naik Kelas (Pembeda Utama)</t>
  </si>
  <si>
    <t xml:space="preserve">Ringkasan pendapatan &amp; status dana</t>
  </si>
  <si>
    <t xml:space="preserve">Penjual tidak tahu uangnya di mana</t>
  </si>
  <si>
    <t xml:space="preserve">Dana tertahan / siap cair / sudah cair, potongan komisi tercatat.</t>
  </si>
  <si>
    <t xml:space="preserve">Seller::pendapatan, Pendapatan_lib</t>
  </si>
  <si>
    <t xml:space="preserve">Pembukuan sederhana (kas masuk-keluar)</t>
  </si>
  <si>
    <t xml:space="preserve">Mayoritas UMKM tidak mencatat keuangan sehingga sulit akses modal</t>
  </si>
  <si>
    <t xml:space="preserve">Penjualan marketplace tercatat otomatis, penjual menambah pengeluaran (bahan, sewa) dengan tombol besar, laporan laba sederhana harian/bulanan.</t>
  </si>
  <si>
    <t xml:space="preserve">Penjualan offline / kasir mini (POS)</t>
  </si>
  <si>
    <t xml:space="preserve">UMKM juga berjualan di warung/pasar, data terpisah</t>
  </si>
  <si>
    <t xml:space="preserve">Catat penjualan langsung, stok tersinkron.</t>
  </si>
  <si>
    <t xml:space="preserve">Laporan penjualan &amp; statistik toko</t>
  </si>
  <si>
    <t xml:space="preserve">Tidak tahu produk mana yang laku</t>
  </si>
  <si>
    <t xml:space="preserve">Grafik omzet, produk terlaris, jam ramai; ekspor Excel/PDF.</t>
  </si>
  <si>
    <t xml:space="preserve">Laporan keuangan siap ajukan KUR/pinjaman</t>
  </si>
  <si>
    <t xml:space="preserve">Bank meminta laporan keuangan</t>
  </si>
  <si>
    <t xml:space="preserve">Ekspor laporan rapi dari data pembukuan.</t>
  </si>
  <si>
    <t xml:space="preserve">Voucher &amp; promo toko</t>
  </si>
  <si>
    <t xml:space="preserve">Sulit bersaing harga</t>
  </si>
  <si>
    <t xml:space="preserve">Diskon persentase/nominal, voucher pelanggan setia.</t>
  </si>
  <si>
    <t xml:space="preserve">Akademi UMKM (pelatihan &amp; pendampingan)</t>
  </si>
  <si>
    <t xml:space="preserve">UMKM tidak tahu cara foto produk, menentukan harga, atau pemasaran</t>
  </si>
  <si>
    <t xml:space="preserve">Modul video pendek, kuis, sertifikat, jadwal konsultasi dengan pendamping/mentor.</t>
  </si>
  <si>
    <t xml:space="preserve">Skor "Naik Kelas" toko</t>
  </si>
  <si>
    <t xml:space="preserve">Tidak ada arah pengembangan usaha</t>
  </si>
  <si>
    <t xml:space="preserve">Level toko (Pemula → Berkembang → Unggul) berdasarkan kelengkapan profil, legalitas, kecepatan respons, rating, dengan saran langkah berikutnya.</t>
  </si>
  <si>
    <t xml:space="preserve">QR code / kartu nama toko digital</t>
  </si>
  <si>
    <t xml:space="preserve">Promosi offline sulit diarahkan ke toko online</t>
  </si>
  <si>
    <t xml:space="preserve">QR siap cetak menuju halaman toko.</t>
  </si>
  <si>
    <t xml:space="preserve">Monitoring</t>
  </si>
  <si>
    <t xml:space="preserve">Dashboard ringkasan</t>
  </si>
  <si>
    <t xml:space="preserve">Admin butuh gambaran cepat</t>
  </si>
  <si>
    <t xml:space="preserve">Toko aktif/menunggu, produk aktif, akun, pesanan perlu diproses, pesanan hari ini, omzet bulan berjalan.</t>
  </si>
  <si>
    <t xml:space="preserve">admin/Dashboard.php</t>
  </si>
  <si>
    <t xml:space="preserve">Laporan &amp; analitik platform</t>
  </si>
  <si>
    <t xml:space="preserve">Tidak bisa mengukur pertumbuhan</t>
  </si>
  <si>
    <t xml:space="preserve">GMV per periode/wilayah/kategori, pertumbuhan toko, ekspor data.</t>
  </si>
  <si>
    <t xml:space="preserve">Peta sebaran UMKM</t>
  </si>
  <si>
    <t xml:space="preserve">Pemda/mitra ingin tahu wilayah yang perlu dibina</t>
  </si>
  <si>
    <t xml:space="preserve">Peta toko per kecamatan beserta tingkat aktivitasnya.</t>
  </si>
  <si>
    <t xml:space="preserve">Pengguna &amp; Toko</t>
  </si>
  <si>
    <t xml:space="preserve">Persetujuan &amp; kelola toko</t>
  </si>
  <si>
    <t xml:space="preserve">Mencegah toko fiktif</t>
  </si>
  <si>
    <t xml:space="preserve">Daftar toko menunggu, ubah data, aktif/nonaktifkan.</t>
  </si>
  <si>
    <t xml:space="preserve">admin/Stores.php</t>
  </si>
  <si>
    <t xml:space="preserve">Kelola pengguna</t>
  </si>
  <si>
    <t xml:space="preserve">Akun bermasalah</t>
  </si>
  <si>
    <t xml:space="preserve">Aktif/nonaktif, ubah peran, reset sandi.</t>
  </si>
  <si>
    <t xml:space="preserve">admin/Users.php</t>
  </si>
  <si>
    <t xml:space="preserve">Verifikasi dokumen (KTP/NIB/Halal) &amp; lencana</t>
  </si>
  <si>
    <t xml:space="preserve">Kepercayaan pembeli</t>
  </si>
  <si>
    <t xml:space="preserve">Antrean verifikasi dokumen, pemberian lencana.</t>
  </si>
  <si>
    <t xml:space="preserve">Manajemen pendamping UMKM</t>
  </si>
  <si>
    <t xml:space="preserve">Pembinaan tidak terpantau</t>
  </si>
  <si>
    <t xml:space="preserve">Tetapkan pendamping per toko, catatan kunjungan, progres "naik kelas".</t>
  </si>
  <si>
    <t xml:space="preserve">Katalog &amp; Konten</t>
  </si>
  <si>
    <t xml:space="preserve">Kelola kategori + ikon</t>
  </si>
  <si>
    <t xml:space="preserve">Kategori berantakan</t>
  </si>
  <si>
    <t xml:space="preserve">Tambah/ubah/nonaktifkan/hapus kategori aman.</t>
  </si>
  <si>
    <t xml:space="preserve">admin/Categories.php</t>
  </si>
  <si>
    <t xml:space="preserve">Moderasi produk</t>
  </si>
  <si>
    <t xml:space="preserve">Produk terlarang/menyesatkan lolos</t>
  </si>
  <si>
    <t xml:space="preserve">Daftar produk semua toko, takedown, laporan pengguna.</t>
  </si>
  <si>
    <t xml:space="preserve">CMS banner &amp; halaman promo</t>
  </si>
  <si>
    <t xml:space="preserve">Kampanye musiman perlu deploy kode</t>
  </si>
  <si>
    <t xml:space="preserve">Atur banner beranda, halaman kampanye ("Pekan Produk Lokal").</t>
  </si>
  <si>
    <t xml:space="preserve">Kelola konten Akademi UMKM</t>
  </si>
  <si>
    <t xml:space="preserve">Materi pelatihan perlu diperbarui</t>
  </si>
  <si>
    <t xml:space="preserve">Unggah modul, kuis, jadwal webinar.</t>
  </si>
  <si>
    <t xml:space="preserve">Moderasi ulasan &amp; laporan</t>
  </si>
  <si>
    <t xml:space="preserve">Ulasan kasar/spam</t>
  </si>
  <si>
    <t xml:space="preserve">Sembunyikan ulasan, tangani laporan.</t>
  </si>
  <si>
    <t xml:space="preserve">Transaksi &amp; Keuangan</t>
  </si>
  <si>
    <t xml:space="preserve">Pencairan dana ke toko</t>
  </si>
  <si>
    <t xml:space="preserve">Penjual menunggu uang</t>
  </si>
  <si>
    <t xml:space="preserve">Cairkan, tandai selesai/gagal dengan bukti.</t>
  </si>
  <si>
    <t xml:space="preserve">admin/Keuangan.php, Pendapatan_lib</t>
  </si>
  <si>
    <t xml:space="preserve">Komisi platform terkunci per pesanan</t>
  </si>
  <si>
    <t xml:space="preserve">Perubahan komisi merusak catatan lama</t>
  </si>
  <si>
    <t xml:space="preserve">Komisi dihitung &amp; disimpan saat lunas, dibatasi 0–50%.</t>
  </si>
  <si>
    <t xml:space="preserve">Pendapatan_lib::catat</t>
  </si>
  <si>
    <t xml:space="preserve">Proses refund</t>
  </si>
  <si>
    <t xml:space="preserve">Gateway tidak punya API refund</t>
  </si>
  <si>
    <t xml:space="preserve">Admin menandai refund yang disetujui penjual sebagai selesai.</t>
  </si>
  <si>
    <t xml:space="preserve">Keuangan::refund, refund_selesai</t>
  </si>
  <si>
    <t xml:space="preserve">Rekonsiliasi pembayaran otomatis</t>
  </si>
  <si>
    <t xml:space="preserve">Pesanan menggantung/tidak terbayar</t>
  </si>
  <si>
    <t xml:space="preserve">Callback Duitku tercatat, sapu otomatis pesanan kedaluwarsa.</t>
  </si>
  <si>
    <t xml:space="preserve">Payment::callback/sweep, Order_model::log_callback, tandai_kedaluwarsa</t>
  </si>
  <si>
    <t xml:space="preserve">Pusat sengketa (dispute)</t>
  </si>
  <si>
    <t xml:space="preserve">Pembeli dan penjual tidak sepakat soal refund</t>
  </si>
  <si>
    <t xml:space="preserve">Admin menengahi dengan bukti chat &amp; foto.</t>
  </si>
  <si>
    <t xml:space="preserve">Voucher &amp; subsidi ongkir platform</t>
  </si>
  <si>
    <t xml:space="preserve">Butuh program akuisisi pembeli</t>
  </si>
  <si>
    <t xml:space="preserve">Buat voucher platform dengan kuota &amp; anggaran.</t>
  </si>
  <si>
    <t xml:space="preserve">Pengaturan sistem lewat UI</t>
  </si>
  <si>
    <t xml:space="preserve">Komisi, kunci API, kontak WA admin diubah lewat file config</t>
  </si>
  <si>
    <t xml:space="preserve">Halaman pengaturan.</t>
  </si>
  <si>
    <t xml:space="preserve">Komunikasi &amp; Keamanan</t>
  </si>
  <si>
    <t xml:space="preserve">Broadcast pengumuman ke penjual (web + WA)</t>
  </si>
  <si>
    <t xml:space="preserve">Info pelatihan/kebijakan tidak sampai</t>
  </si>
  <si>
    <t xml:space="preserve">Kirim pengumuman tersegmentasi per wilayah/kategori.</t>
  </si>
  <si>
    <t xml:space="preserve">Log audit aktivitas admin</t>
  </si>
  <si>
    <t xml:space="preserve">Tidak bisa melacak siapa mengubah apa</t>
  </si>
  <si>
    <t xml:space="preserve">Riwayat aksi admin.</t>
  </si>
  <si>
    <t xml:space="preserve">Repo baru punya log status pesanan &amp; callback</t>
  </si>
  <si>
    <t xml:space="preserve">Halaman galat ramah pengguna</t>
  </si>
  <si>
    <t xml:space="preserve">Halaman error teknis membingungkan &amp; membocorkan info</t>
  </si>
  <si>
    <t xml:space="preserve">404/galat dalam kerangka situs.</t>
  </si>
  <si>
    <t xml:space="preserve">Galat.php</t>
  </si>
  <si>
    <t xml:space="preserve">Tahap</t>
  </si>
  <si>
    <t xml:space="preserve">Fitur yang Direkomendasikan</t>
  </si>
  <si>
    <t xml:space="preserve">Quick win (1–2 sprint)</t>
  </si>
  <si>
    <t xml:space="preserve">notifikasi WhatsApp (pembeli &amp; penjual), lupa sandi mandiri, tombol share WA (kodenya sudah ada, tinggal diaktifkan), peringatan stok menipis, mode libur toko, template balasan chat.</t>
  </si>
  <si>
    <t xml:space="preserve">Pembeda utama (2–4 sprint)</t>
  </si>
  <si>
    <t xml:space="preserve">pembukuan sederhana + laporan penjualan, pre-order fleksibel per produk (DP &amp; kalender), COD dengan batas nominal, pickup di toko.</t>
  </si>
  <si>
    <t xml:space="preserve">Naik kelas (jangka menengah)</t>
  </si>
  <si>
    <t xml:space="preserve">Akademi UMKM, skor "Naik Kelas", bantuan legalitas + lencana verifikasi, laporan siap KUR, manajemen pendamping.</t>
  </si>
  <si>
    <t xml:space="preserve">Skala (jangka panjang)</t>
  </si>
  <si>
    <t xml:space="preserve">integrasi agregator ekspedisi, checkout multi-toko, voucher platform, POS offline, PWA.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</si>
</sst>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COUNTIF('Daftar Fitur'!$B$2:$B$101,A5)</f>
        <v>37</v>
      </c>
      <c r="C5" s="5" t="n">
        <f aca="false">COUNTIFS('Daftar Fitur'!$B$2:$B$101,A5,'Daftar Fitur'!$E$2:$E$101,"Ada")</f>
        <v>22</v>
      </c>
      <c r="D5" s="5" t="n">
        <f aca="false">COUNTIFS('Daftar Fitur'!$B$2:$B$101,A5,'Daftar Fitur'!$E$2:$E$101,"Belum")</f>
        <v>15</v>
      </c>
      <c r="E5" s="6" t="n">
        <f aca="false">IF(B5=0,0,C5/B5)</f>
        <v>0.594594594594595</v>
      </c>
      <c r="F5" s="5" t="n">
        <f aca="false">COUNTIFS('Daftar Fitur'!$B$2:$B$101,A5,'Daftar Fitur'!$F$2:$F$101,"Ya")</f>
        <v>5</v>
      </c>
      <c r="G5" s="5" t="n">
        <f aca="false">COUNTIFS('Daftar Fitur'!$B$2:$B$101,A5,'Daftar Fitur'!$F$2:$F$101,"Ya",'Daftar Fitur'!$E$2:$E$101,"Belum")</f>
        <v>4</v>
      </c>
      <c r="H5" s="5" t="n">
        <f aca="false">COUNTIFS('Daftar Fitur'!$B$2:$B$101,A5,'Daftar Fitur'!$G$2:$G$101,"Ya")</f>
        <v>9</v>
      </c>
    </row>
    <row r="6" customFormat="false" ht="15" hidden="false" customHeight="false" outlineLevel="0" collapsed="false">
      <c r="A6" s="4" t="s">
        <v>11</v>
      </c>
      <c r="B6" s="5" t="n">
        <f aca="false">COUNTIF('Daftar Fitur'!$B$2:$B$101,A6)</f>
        <v>41</v>
      </c>
      <c r="C6" s="5" t="n">
        <f aca="false">COUNTIFS('Daftar Fitur'!$B$2:$B$101,A6,'Daftar Fitur'!$E$2:$E$101,"Ada")</f>
        <v>21</v>
      </c>
      <c r="D6" s="5" t="n">
        <f aca="false">COUNTIFS('Daftar Fitur'!$B$2:$B$101,A6,'Daftar Fitur'!$E$2:$E$101,"Belum")</f>
        <v>20</v>
      </c>
      <c r="E6" s="6" t="n">
        <f aca="false">IF(B6=0,0,C6/B6)</f>
        <v>0.51219512195122</v>
      </c>
      <c r="F6" s="5" t="n">
        <f aca="false">COUNTIFS('Daftar Fitur'!$B$2:$B$101,A6,'Daftar Fitur'!$F$2:$F$101,"Ya")</f>
        <v>10</v>
      </c>
      <c r="G6" s="5" t="n">
        <f aca="false">COUNTIFS('Daftar Fitur'!$B$2:$B$101,A6,'Daftar Fitur'!$F$2:$F$101,"Ya",'Daftar Fitur'!$E$2:$E$101,"Belum")</f>
        <v>8</v>
      </c>
      <c r="H6" s="5" t="n">
        <f aca="false">COUNTIFS('Daftar Fitur'!$B$2:$B$101,A6,'Daftar Fitur'!$G$2:$G$101,"Ya")</f>
        <v>8</v>
      </c>
    </row>
    <row r="7" customFormat="false" ht="15" hidden="false" customHeight="false" outlineLevel="0" collapsed="false">
      <c r="A7" s="4" t="s">
        <v>12</v>
      </c>
      <c r="B7" s="5" t="n">
        <f aca="false">COUNTIF('Daftar Fitur'!$B$2:$B$101,A7)</f>
        <v>22</v>
      </c>
      <c r="C7" s="5" t="n">
        <f aca="false">COUNTIFS('Daftar Fitur'!$B$2:$B$101,A7,'Daftar Fitur'!$E$2:$E$101,"Ada")</f>
        <v>9</v>
      </c>
      <c r="D7" s="5" t="n">
        <f aca="false">COUNTIFS('Daftar Fitur'!$B$2:$B$101,A7,'Daftar Fitur'!$E$2:$E$101,"Belum")</f>
        <v>13</v>
      </c>
      <c r="E7" s="6" t="n">
        <f aca="false">IF(B7=0,0,C7/B7)</f>
        <v>0.409090909090909</v>
      </c>
      <c r="F7" s="5" t="n">
        <f aca="false">COUNTIFS('Daftar Fitur'!$B$2:$B$101,A7,'Daftar Fitur'!$F$2:$F$101,"Ya")</f>
        <v>2</v>
      </c>
      <c r="G7" s="5" t="n">
        <f aca="false">COUNTIFS('Daftar Fitur'!$B$2:$B$101,A7,'Daftar Fitur'!$F$2:$F$101,"Ya",'Daftar Fitur'!$E$2:$E$101,"Belum")</f>
        <v>2</v>
      </c>
      <c r="H7" s="5" t="n">
        <f aca="false">COUNTIFS('Daftar Fitur'!$B$2:$B$101,A7,'Daftar Fitur'!$G$2:$G$101,"Ya")</f>
        <v>0</v>
      </c>
    </row>
    <row r="8" customFormat="false" ht="15" hidden="false" customHeight="false" outlineLevel="0" collapsed="false">
      <c r="A8" s="7" t="s">
        <v>13</v>
      </c>
      <c r="B8" s="8" t="n">
        <f aca="false">SUM(B5:B7)</f>
        <v>100</v>
      </c>
      <c r="C8" s="8" t="n">
        <f aca="false">SUM(C5:C7)</f>
        <v>52</v>
      </c>
      <c r="D8" s="8" t="n">
        <f aca="false">SUM(D5:D7)</f>
        <v>48</v>
      </c>
      <c r="E8" s="9" t="n">
        <f aca="false">IF(B8=0,0,C8/B8)</f>
        <v>0.52</v>
      </c>
      <c r="F8" s="8" t="n">
        <f aca="false">SUM(F5:F7)</f>
        <v>17</v>
      </c>
      <c r="G8" s="8" t="n">
        <f aca="false">SUM(G5:G7)</f>
        <v>14</v>
      </c>
      <c r="H8" s="8" t="n">
        <f aca="false">SUM(H5:H7)</f>
        <v>17</v>
      </c>
    </row>
    <row r="10" customFormat="false" ht="15" hidden="false" customHeight="false" outlineLevel="0" collapsed="false">
      <c r="A10" s="10" t="s">
        <v>14</v>
      </c>
    </row>
    <row r="11" customFormat="false" ht="15" hidden="false" customHeight="false" outlineLevel="0" collapsed="false">
      <c r="A11" s="11" t="s">
        <v>15</v>
      </c>
      <c r="B11" s="12" t="s">
        <v>16</v>
      </c>
    </row>
    <row r="12" customFormat="false" ht="15" hidden="false" customHeight="false" outlineLevel="0" collapsed="false">
      <c r="A12" s="11" t="s">
        <v>17</v>
      </c>
      <c r="B12" s="12" t="s">
        <v>18</v>
      </c>
    </row>
    <row r="13" customFormat="false" ht="15" hidden="false" customHeight="false" outlineLevel="0" collapsed="false">
      <c r="A13" s="11" t="s">
        <v>7</v>
      </c>
      <c r="B13" s="12" t="s">
        <v>19</v>
      </c>
    </row>
    <row r="14" customFormat="false" ht="15" hidden="false" customHeight="false" outlineLevel="0" collapsed="false">
      <c r="A14" s="11" t="s">
        <v>9</v>
      </c>
      <c r="B14" s="12" t="s">
        <v>20</v>
      </c>
    </row>
    <row r="15" customFormat="false" ht="15" hidden="false" customHeight="false" outlineLevel="0" collapsed="false">
      <c r="A15" s="11" t="s">
        <v>21</v>
      </c>
      <c r="B15" s="12" t="s">
        <v>22</v>
      </c>
    </row>
    <row r="16" customFormat="false" ht="15" hidden="false" customHeight="false" outlineLevel="0" collapsed="false">
      <c r="A16" s="11" t="s">
        <v>23</v>
      </c>
      <c r="B16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8"/>
    <col collapsed="false" customWidth="true" hidden="false" outlineLevel="0" max="9" min="9" style="0" width="55"/>
    <col collapsed="false" customWidth="true" hidden="false" outlineLevel="0" max="10" min="10" style="0" width="50"/>
    <col collapsed="false" customWidth="true" hidden="false" outlineLevel="0" max="11" min="11" style="0" width="13"/>
  </cols>
  <sheetData>
    <row r="1" customFormat="false" ht="39.55" hidden="false" customHeight="false" outlineLevel="0" collapsed="false">
      <c r="A1" s="3" t="s">
        <v>25</v>
      </c>
      <c r="B1" s="3" t="s">
        <v>2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</row>
    <row r="2" customFormat="false" ht="15" hidden="false" customHeight="false" outlineLevel="0" collapsed="false">
      <c r="A2" s="13" t="n">
        <v>1</v>
      </c>
      <c r="B2" s="14" t="s">
        <v>10</v>
      </c>
      <c r="C2" s="14" t="s">
        <v>35</v>
      </c>
      <c r="D2" s="15" t="s">
        <v>36</v>
      </c>
      <c r="E2" s="13" t="s">
        <v>15</v>
      </c>
      <c r="F2" s="13"/>
      <c r="G2" s="13"/>
      <c r="H2" s="14" t="s">
        <v>37</v>
      </c>
      <c r="I2" s="14" t="s">
        <v>38</v>
      </c>
      <c r="J2" s="14" t="s">
        <v>39</v>
      </c>
      <c r="K2" s="16"/>
    </row>
    <row r="3" customFormat="false" ht="15" hidden="false" customHeight="false" outlineLevel="0" collapsed="false">
      <c r="A3" s="13" t="n">
        <v>2</v>
      </c>
      <c r="B3" s="14" t="s">
        <v>10</v>
      </c>
      <c r="C3" s="14" t="s">
        <v>35</v>
      </c>
      <c r="D3" s="15" t="s">
        <v>40</v>
      </c>
      <c r="E3" s="13" t="s">
        <v>15</v>
      </c>
      <c r="F3" s="13"/>
      <c r="G3" s="13" t="s">
        <v>41</v>
      </c>
      <c r="H3" s="14" t="s">
        <v>42</v>
      </c>
      <c r="I3" s="14" t="s">
        <v>43</v>
      </c>
      <c r="J3" s="14" t="s">
        <v>44</v>
      </c>
      <c r="K3" s="16"/>
    </row>
    <row r="4" customFormat="false" ht="23.85" hidden="false" customHeight="false" outlineLevel="0" collapsed="false">
      <c r="A4" s="13" t="n">
        <v>3</v>
      </c>
      <c r="B4" s="14" t="s">
        <v>10</v>
      </c>
      <c r="C4" s="14" t="s">
        <v>35</v>
      </c>
      <c r="D4" s="15" t="s">
        <v>45</v>
      </c>
      <c r="E4" s="13" t="s">
        <v>15</v>
      </c>
      <c r="F4" s="13"/>
      <c r="G4" s="13" t="s">
        <v>41</v>
      </c>
      <c r="H4" s="14" t="s">
        <v>46</v>
      </c>
      <c r="I4" s="14" t="s">
        <v>47</v>
      </c>
      <c r="J4" s="14" t="s">
        <v>48</v>
      </c>
      <c r="K4" s="16"/>
    </row>
    <row r="5" customFormat="false" ht="23.85" hidden="false" customHeight="false" outlineLevel="0" collapsed="false">
      <c r="A5" s="13" t="n">
        <v>4</v>
      </c>
      <c r="B5" s="14" t="s">
        <v>10</v>
      </c>
      <c r="C5" s="14" t="s">
        <v>35</v>
      </c>
      <c r="D5" s="15" t="s">
        <v>49</v>
      </c>
      <c r="E5" s="13" t="s">
        <v>17</v>
      </c>
      <c r="F5" s="13"/>
      <c r="G5" s="13" t="s">
        <v>41</v>
      </c>
      <c r="H5" s="14" t="s">
        <v>50</v>
      </c>
      <c r="I5" s="14" t="s">
        <v>51</v>
      </c>
      <c r="J5" s="14"/>
      <c r="K5" s="16"/>
    </row>
    <row r="6" customFormat="false" ht="15" hidden="false" customHeight="false" outlineLevel="0" collapsed="false">
      <c r="A6" s="13" t="n">
        <v>5</v>
      </c>
      <c r="B6" s="14" t="s">
        <v>10</v>
      </c>
      <c r="C6" s="14" t="s">
        <v>35</v>
      </c>
      <c r="D6" s="15" t="s">
        <v>52</v>
      </c>
      <c r="E6" s="13" t="s">
        <v>17</v>
      </c>
      <c r="F6" s="13"/>
      <c r="G6" s="13"/>
      <c r="H6" s="14" t="s">
        <v>53</v>
      </c>
      <c r="I6" s="14" t="s">
        <v>54</v>
      </c>
      <c r="J6" s="14" t="s">
        <v>55</v>
      </c>
      <c r="K6" s="16"/>
    </row>
    <row r="7" customFormat="false" ht="15" hidden="false" customHeight="false" outlineLevel="0" collapsed="false">
      <c r="A7" s="13" t="n">
        <v>6</v>
      </c>
      <c r="B7" s="14" t="s">
        <v>10</v>
      </c>
      <c r="C7" s="14" t="s">
        <v>35</v>
      </c>
      <c r="D7" s="15" t="s">
        <v>56</v>
      </c>
      <c r="E7" s="13" t="s">
        <v>15</v>
      </c>
      <c r="F7" s="13"/>
      <c r="G7" s="13"/>
      <c r="H7" s="14" t="s">
        <v>57</v>
      </c>
      <c r="I7" s="14" t="s">
        <v>58</v>
      </c>
      <c r="J7" s="14" t="s">
        <v>59</v>
      </c>
      <c r="K7" s="16"/>
    </row>
    <row r="8" customFormat="false" ht="23.85" hidden="false" customHeight="false" outlineLevel="0" collapsed="false">
      <c r="A8" s="13" t="n">
        <v>7</v>
      </c>
      <c r="B8" s="14" t="s">
        <v>10</v>
      </c>
      <c r="C8" s="14" t="s">
        <v>60</v>
      </c>
      <c r="D8" s="15" t="s">
        <v>61</v>
      </c>
      <c r="E8" s="13" t="s">
        <v>15</v>
      </c>
      <c r="F8" s="13" t="s">
        <v>41</v>
      </c>
      <c r="G8" s="13"/>
      <c r="H8" s="14" t="s">
        <v>62</v>
      </c>
      <c r="I8" s="14" t="s">
        <v>63</v>
      </c>
      <c r="J8" s="14" t="s">
        <v>64</v>
      </c>
      <c r="K8" s="16"/>
    </row>
    <row r="9" customFormat="false" ht="15" hidden="false" customHeight="false" outlineLevel="0" collapsed="false">
      <c r="A9" s="13" t="n">
        <v>8</v>
      </c>
      <c r="B9" s="14" t="s">
        <v>10</v>
      </c>
      <c r="C9" s="14" t="s">
        <v>60</v>
      </c>
      <c r="D9" s="15" t="s">
        <v>65</v>
      </c>
      <c r="E9" s="13" t="s">
        <v>15</v>
      </c>
      <c r="F9" s="13"/>
      <c r="G9" s="13"/>
      <c r="H9" s="14" t="s">
        <v>66</v>
      </c>
      <c r="I9" s="14" t="s">
        <v>67</v>
      </c>
      <c r="J9" s="14" t="s">
        <v>68</v>
      </c>
      <c r="K9" s="16"/>
    </row>
    <row r="10" customFormat="false" ht="15" hidden="false" customHeight="false" outlineLevel="0" collapsed="false">
      <c r="A10" s="13" t="n">
        <v>9</v>
      </c>
      <c r="B10" s="14" t="s">
        <v>10</v>
      </c>
      <c r="C10" s="14" t="s">
        <v>60</v>
      </c>
      <c r="D10" s="15" t="s">
        <v>69</v>
      </c>
      <c r="E10" s="13" t="s">
        <v>15</v>
      </c>
      <c r="F10" s="13"/>
      <c r="G10" s="13"/>
      <c r="H10" s="14" t="s">
        <v>70</v>
      </c>
      <c r="I10" s="14" t="s">
        <v>71</v>
      </c>
      <c r="J10" s="14" t="s">
        <v>72</v>
      </c>
      <c r="K10" s="16"/>
    </row>
    <row r="11" customFormat="false" ht="23.85" hidden="false" customHeight="false" outlineLevel="0" collapsed="false">
      <c r="A11" s="13" t="n">
        <v>10</v>
      </c>
      <c r="B11" s="14" t="s">
        <v>10</v>
      </c>
      <c r="C11" s="14" t="s">
        <v>60</v>
      </c>
      <c r="D11" s="15" t="s">
        <v>73</v>
      </c>
      <c r="E11" s="13" t="s">
        <v>15</v>
      </c>
      <c r="F11" s="13"/>
      <c r="G11" s="13"/>
      <c r="H11" s="14" t="s">
        <v>74</v>
      </c>
      <c r="I11" s="14" t="s">
        <v>75</v>
      </c>
      <c r="J11" s="14" t="s">
        <v>76</v>
      </c>
      <c r="K11" s="16"/>
    </row>
    <row r="12" customFormat="false" ht="15" hidden="false" customHeight="false" outlineLevel="0" collapsed="false">
      <c r="A12" s="13" t="n">
        <v>11</v>
      </c>
      <c r="B12" s="14" t="s">
        <v>10</v>
      </c>
      <c r="C12" s="14" t="s">
        <v>60</v>
      </c>
      <c r="D12" s="15" t="s">
        <v>77</v>
      </c>
      <c r="E12" s="13" t="s">
        <v>15</v>
      </c>
      <c r="F12" s="13"/>
      <c r="G12" s="13"/>
      <c r="H12" s="14" t="s">
        <v>78</v>
      </c>
      <c r="I12" s="14" t="s">
        <v>79</v>
      </c>
      <c r="J12" s="14" t="s">
        <v>80</v>
      </c>
      <c r="K12" s="16"/>
    </row>
    <row r="13" customFormat="false" ht="15" hidden="false" customHeight="false" outlineLevel="0" collapsed="false">
      <c r="A13" s="13" t="n">
        <v>12</v>
      </c>
      <c r="B13" s="14" t="s">
        <v>10</v>
      </c>
      <c r="C13" s="14" t="s">
        <v>60</v>
      </c>
      <c r="D13" s="15" t="s">
        <v>81</v>
      </c>
      <c r="E13" s="13" t="s">
        <v>15</v>
      </c>
      <c r="F13" s="13"/>
      <c r="G13" s="13"/>
      <c r="H13" s="14" t="s">
        <v>82</v>
      </c>
      <c r="I13" s="14" t="s">
        <v>83</v>
      </c>
      <c r="J13" s="14" t="s">
        <v>84</v>
      </c>
      <c r="K13" s="16"/>
    </row>
    <row r="14" customFormat="false" ht="15" hidden="false" customHeight="false" outlineLevel="0" collapsed="false">
      <c r="A14" s="13" t="n">
        <v>13</v>
      </c>
      <c r="B14" s="14" t="s">
        <v>10</v>
      </c>
      <c r="C14" s="14" t="s">
        <v>60</v>
      </c>
      <c r="D14" s="15" t="s">
        <v>85</v>
      </c>
      <c r="E14" s="13" t="s">
        <v>17</v>
      </c>
      <c r="F14" s="13"/>
      <c r="G14" s="13"/>
      <c r="H14" s="14" t="s">
        <v>86</v>
      </c>
      <c r="I14" s="14" t="s">
        <v>87</v>
      </c>
      <c r="J14" s="14"/>
      <c r="K14" s="16"/>
    </row>
    <row r="15" customFormat="false" ht="23.85" hidden="false" customHeight="false" outlineLevel="0" collapsed="false">
      <c r="A15" s="13" t="n">
        <v>14</v>
      </c>
      <c r="B15" s="14" t="s">
        <v>10</v>
      </c>
      <c r="C15" s="14" t="s">
        <v>60</v>
      </c>
      <c r="D15" s="15" t="s">
        <v>88</v>
      </c>
      <c r="E15" s="13" t="s">
        <v>17</v>
      </c>
      <c r="F15" s="13"/>
      <c r="G15" s="13"/>
      <c r="H15" s="14" t="s">
        <v>89</v>
      </c>
      <c r="I15" s="14" t="s">
        <v>90</v>
      </c>
      <c r="J15" s="14"/>
      <c r="K15" s="16"/>
    </row>
    <row r="16" customFormat="false" ht="15" hidden="false" customHeight="false" outlineLevel="0" collapsed="false">
      <c r="A16" s="13" t="n">
        <v>15</v>
      </c>
      <c r="B16" s="14" t="s">
        <v>10</v>
      </c>
      <c r="C16" s="14" t="s">
        <v>60</v>
      </c>
      <c r="D16" s="15" t="s">
        <v>91</v>
      </c>
      <c r="E16" s="13" t="s">
        <v>17</v>
      </c>
      <c r="F16" s="13"/>
      <c r="G16" s="13"/>
      <c r="H16" s="14" t="s">
        <v>92</v>
      </c>
      <c r="I16" s="14" t="s">
        <v>93</v>
      </c>
      <c r="J16" s="14"/>
      <c r="K16" s="16"/>
    </row>
    <row r="17" customFormat="false" ht="23.85" hidden="false" customHeight="false" outlineLevel="0" collapsed="false">
      <c r="A17" s="13" t="n">
        <v>16</v>
      </c>
      <c r="B17" s="14" t="s">
        <v>10</v>
      </c>
      <c r="C17" s="14" t="s">
        <v>60</v>
      </c>
      <c r="D17" s="15" t="s">
        <v>94</v>
      </c>
      <c r="E17" s="13" t="s">
        <v>17</v>
      </c>
      <c r="F17" s="13" t="s">
        <v>41</v>
      </c>
      <c r="G17" s="13"/>
      <c r="H17" s="14" t="s">
        <v>95</v>
      </c>
      <c r="I17" s="14" t="s">
        <v>96</v>
      </c>
      <c r="J17" s="14"/>
      <c r="K17" s="16"/>
    </row>
    <row r="18" customFormat="false" ht="15" hidden="false" customHeight="false" outlineLevel="0" collapsed="false">
      <c r="A18" s="13" t="n">
        <v>17</v>
      </c>
      <c r="B18" s="14" t="s">
        <v>10</v>
      </c>
      <c r="C18" s="14" t="s">
        <v>60</v>
      </c>
      <c r="D18" s="15" t="s">
        <v>97</v>
      </c>
      <c r="E18" s="13" t="s">
        <v>17</v>
      </c>
      <c r="F18" s="13"/>
      <c r="G18" s="13" t="s">
        <v>41</v>
      </c>
      <c r="H18" s="14" t="s">
        <v>98</v>
      </c>
      <c r="I18" s="14" t="s">
        <v>99</v>
      </c>
      <c r="J18" s="14" t="s">
        <v>100</v>
      </c>
      <c r="K18" s="16"/>
    </row>
    <row r="19" customFormat="false" ht="23.85" hidden="false" customHeight="false" outlineLevel="0" collapsed="false">
      <c r="A19" s="13" t="n">
        <v>18</v>
      </c>
      <c r="B19" s="14" t="s">
        <v>10</v>
      </c>
      <c r="C19" s="14" t="s">
        <v>101</v>
      </c>
      <c r="D19" s="15" t="s">
        <v>102</v>
      </c>
      <c r="E19" s="13" t="s">
        <v>15</v>
      </c>
      <c r="F19" s="13"/>
      <c r="G19" s="13"/>
      <c r="H19" s="14" t="s">
        <v>103</v>
      </c>
      <c r="I19" s="14" t="s">
        <v>104</v>
      </c>
      <c r="J19" s="14" t="s">
        <v>105</v>
      </c>
      <c r="K19" s="16"/>
    </row>
    <row r="20" customFormat="false" ht="23.85" hidden="false" customHeight="false" outlineLevel="0" collapsed="false">
      <c r="A20" s="13" t="n">
        <v>19</v>
      </c>
      <c r="B20" s="14" t="s">
        <v>10</v>
      </c>
      <c r="C20" s="14" t="s">
        <v>101</v>
      </c>
      <c r="D20" s="15" t="s">
        <v>106</v>
      </c>
      <c r="E20" s="13" t="s">
        <v>15</v>
      </c>
      <c r="F20" s="13"/>
      <c r="G20" s="13"/>
      <c r="H20" s="14" t="s">
        <v>107</v>
      </c>
      <c r="I20" s="14" t="s">
        <v>108</v>
      </c>
      <c r="J20" s="14" t="s">
        <v>109</v>
      </c>
      <c r="K20" s="16"/>
    </row>
    <row r="21" customFormat="false" ht="23.85" hidden="false" customHeight="false" outlineLevel="0" collapsed="false">
      <c r="A21" s="13" t="n">
        <v>20</v>
      </c>
      <c r="B21" s="14" t="s">
        <v>10</v>
      </c>
      <c r="C21" s="14" t="s">
        <v>101</v>
      </c>
      <c r="D21" s="15" t="s">
        <v>110</v>
      </c>
      <c r="E21" s="13" t="s">
        <v>15</v>
      </c>
      <c r="F21" s="13"/>
      <c r="G21" s="13"/>
      <c r="H21" s="14" t="s">
        <v>111</v>
      </c>
      <c r="I21" s="14" t="s">
        <v>112</v>
      </c>
      <c r="J21" s="14" t="s">
        <v>113</v>
      </c>
      <c r="K21" s="16"/>
    </row>
    <row r="22" customFormat="false" ht="23.85" hidden="false" customHeight="false" outlineLevel="0" collapsed="false">
      <c r="A22" s="13" t="n">
        <v>21</v>
      </c>
      <c r="B22" s="14" t="s">
        <v>10</v>
      </c>
      <c r="C22" s="14" t="s">
        <v>101</v>
      </c>
      <c r="D22" s="15" t="s">
        <v>114</v>
      </c>
      <c r="E22" s="13" t="s">
        <v>15</v>
      </c>
      <c r="F22" s="13"/>
      <c r="G22" s="13"/>
      <c r="H22" s="14" t="s">
        <v>115</v>
      </c>
      <c r="I22" s="14" t="s">
        <v>116</v>
      </c>
      <c r="J22" s="14" t="s">
        <v>117</v>
      </c>
      <c r="K22" s="16"/>
    </row>
    <row r="23" customFormat="false" ht="23.85" hidden="false" customHeight="false" outlineLevel="0" collapsed="false">
      <c r="A23" s="13" t="n">
        <v>22</v>
      </c>
      <c r="B23" s="14" t="s">
        <v>10</v>
      </c>
      <c r="C23" s="14" t="s">
        <v>101</v>
      </c>
      <c r="D23" s="15" t="s">
        <v>118</v>
      </c>
      <c r="E23" s="13" t="s">
        <v>17</v>
      </c>
      <c r="F23" s="13"/>
      <c r="G23" s="13" t="s">
        <v>41</v>
      </c>
      <c r="H23" s="14" t="s">
        <v>119</v>
      </c>
      <c r="I23" s="14" t="s">
        <v>120</v>
      </c>
      <c r="J23" s="14" t="s">
        <v>121</v>
      </c>
      <c r="K23" s="16"/>
    </row>
    <row r="24" customFormat="false" ht="23.85" hidden="false" customHeight="false" outlineLevel="0" collapsed="false">
      <c r="A24" s="13" t="n">
        <v>23</v>
      </c>
      <c r="B24" s="14" t="s">
        <v>10</v>
      </c>
      <c r="C24" s="14" t="s">
        <v>101</v>
      </c>
      <c r="D24" s="15" t="s">
        <v>122</v>
      </c>
      <c r="E24" s="13" t="s">
        <v>17</v>
      </c>
      <c r="F24" s="13"/>
      <c r="G24" s="13"/>
      <c r="H24" s="14" t="s">
        <v>123</v>
      </c>
      <c r="I24" s="14" t="s">
        <v>124</v>
      </c>
      <c r="J24" s="14"/>
      <c r="K24" s="16"/>
    </row>
    <row r="25" customFormat="false" ht="23.85" hidden="false" customHeight="false" outlineLevel="0" collapsed="false">
      <c r="A25" s="13" t="n">
        <v>24</v>
      </c>
      <c r="B25" s="14" t="s">
        <v>10</v>
      </c>
      <c r="C25" s="14" t="s">
        <v>101</v>
      </c>
      <c r="D25" s="15" t="s">
        <v>125</v>
      </c>
      <c r="E25" s="13" t="s">
        <v>17</v>
      </c>
      <c r="F25" s="13" t="s">
        <v>41</v>
      </c>
      <c r="G25" s="13"/>
      <c r="H25" s="14" t="s">
        <v>126</v>
      </c>
      <c r="I25" s="14" t="s">
        <v>127</v>
      </c>
      <c r="J25" s="14"/>
      <c r="K25" s="16"/>
    </row>
    <row r="26" customFormat="false" ht="23.85" hidden="false" customHeight="false" outlineLevel="0" collapsed="false">
      <c r="A26" s="13" t="n">
        <v>25</v>
      </c>
      <c r="B26" s="14" t="s">
        <v>10</v>
      </c>
      <c r="C26" s="14" t="s">
        <v>101</v>
      </c>
      <c r="D26" s="15" t="s">
        <v>128</v>
      </c>
      <c r="E26" s="13" t="s">
        <v>17</v>
      </c>
      <c r="F26" s="13" t="s">
        <v>41</v>
      </c>
      <c r="G26" s="13"/>
      <c r="H26" s="14" t="s">
        <v>129</v>
      </c>
      <c r="I26" s="14" t="s">
        <v>130</v>
      </c>
      <c r="J26" s="14" t="s">
        <v>131</v>
      </c>
      <c r="K26" s="16"/>
    </row>
    <row r="27" customFormat="false" ht="23.85" hidden="false" customHeight="false" outlineLevel="0" collapsed="false">
      <c r="A27" s="13" t="n">
        <v>26</v>
      </c>
      <c r="B27" s="14" t="s">
        <v>10</v>
      </c>
      <c r="C27" s="14" t="s">
        <v>101</v>
      </c>
      <c r="D27" s="15" t="s">
        <v>132</v>
      </c>
      <c r="E27" s="13" t="s">
        <v>17</v>
      </c>
      <c r="F27" s="13" t="s">
        <v>41</v>
      </c>
      <c r="G27" s="13"/>
      <c r="H27" s="14" t="s">
        <v>133</v>
      </c>
      <c r="I27" s="14" t="s">
        <v>134</v>
      </c>
      <c r="J27" s="14"/>
      <c r="K27" s="16"/>
    </row>
    <row r="28" customFormat="false" ht="15" hidden="false" customHeight="false" outlineLevel="0" collapsed="false">
      <c r="A28" s="13" t="n">
        <v>27</v>
      </c>
      <c r="B28" s="14" t="s">
        <v>10</v>
      </c>
      <c r="C28" s="14" t="s">
        <v>135</v>
      </c>
      <c r="D28" s="15" t="s">
        <v>136</v>
      </c>
      <c r="E28" s="13" t="s">
        <v>15</v>
      </c>
      <c r="F28" s="13"/>
      <c r="G28" s="13"/>
      <c r="H28" s="14" t="s">
        <v>137</v>
      </c>
      <c r="I28" s="14" t="s">
        <v>138</v>
      </c>
      <c r="J28" s="14" t="s">
        <v>139</v>
      </c>
      <c r="K28" s="16"/>
    </row>
    <row r="29" customFormat="false" ht="15" hidden="false" customHeight="false" outlineLevel="0" collapsed="false">
      <c r="A29" s="13" t="n">
        <v>28</v>
      </c>
      <c r="B29" s="14" t="s">
        <v>10</v>
      </c>
      <c r="C29" s="14" t="s">
        <v>135</v>
      </c>
      <c r="D29" s="15" t="s">
        <v>140</v>
      </c>
      <c r="E29" s="13" t="s">
        <v>15</v>
      </c>
      <c r="F29" s="13"/>
      <c r="G29" s="13"/>
      <c r="H29" s="14" t="s">
        <v>141</v>
      </c>
      <c r="I29" s="14" t="s">
        <v>142</v>
      </c>
      <c r="J29" s="14" t="s">
        <v>143</v>
      </c>
      <c r="K29" s="16"/>
    </row>
    <row r="30" customFormat="false" ht="15" hidden="false" customHeight="false" outlineLevel="0" collapsed="false">
      <c r="A30" s="13" t="n">
        <v>29</v>
      </c>
      <c r="B30" s="14" t="s">
        <v>10</v>
      </c>
      <c r="C30" s="14" t="s">
        <v>135</v>
      </c>
      <c r="D30" s="15" t="s">
        <v>144</v>
      </c>
      <c r="E30" s="13" t="s">
        <v>15</v>
      </c>
      <c r="F30" s="13"/>
      <c r="G30" s="13"/>
      <c r="H30" s="14" t="s">
        <v>145</v>
      </c>
      <c r="I30" s="14" t="s">
        <v>146</v>
      </c>
      <c r="J30" s="14" t="s">
        <v>147</v>
      </c>
      <c r="K30" s="16"/>
    </row>
    <row r="31" customFormat="false" ht="15" hidden="false" customHeight="false" outlineLevel="0" collapsed="false">
      <c r="A31" s="13" t="n">
        <v>30</v>
      </c>
      <c r="B31" s="14" t="s">
        <v>10</v>
      </c>
      <c r="C31" s="14" t="s">
        <v>135</v>
      </c>
      <c r="D31" s="15" t="s">
        <v>148</v>
      </c>
      <c r="E31" s="13" t="s">
        <v>15</v>
      </c>
      <c r="F31" s="13"/>
      <c r="G31" s="13"/>
      <c r="H31" s="14" t="s">
        <v>149</v>
      </c>
      <c r="I31" s="14" t="s">
        <v>150</v>
      </c>
      <c r="J31" s="14" t="s">
        <v>151</v>
      </c>
      <c r="K31" s="16"/>
    </row>
    <row r="32" customFormat="false" ht="15" hidden="false" customHeight="false" outlineLevel="0" collapsed="false">
      <c r="A32" s="13" t="n">
        <v>31</v>
      </c>
      <c r="B32" s="14" t="s">
        <v>10</v>
      </c>
      <c r="C32" s="14" t="s">
        <v>135</v>
      </c>
      <c r="D32" s="15" t="s">
        <v>152</v>
      </c>
      <c r="E32" s="13" t="s">
        <v>15</v>
      </c>
      <c r="F32" s="13"/>
      <c r="G32" s="13"/>
      <c r="H32" s="14" t="s">
        <v>153</v>
      </c>
      <c r="I32" s="14" t="s">
        <v>154</v>
      </c>
      <c r="J32" s="14" t="s">
        <v>155</v>
      </c>
      <c r="K32" s="16"/>
    </row>
    <row r="33" customFormat="false" ht="23.85" hidden="false" customHeight="false" outlineLevel="0" collapsed="false">
      <c r="A33" s="13" t="n">
        <v>32</v>
      </c>
      <c r="B33" s="14" t="s">
        <v>10</v>
      </c>
      <c r="C33" s="14" t="s">
        <v>135</v>
      </c>
      <c r="D33" s="15" t="s">
        <v>156</v>
      </c>
      <c r="E33" s="13" t="s">
        <v>15</v>
      </c>
      <c r="F33" s="13"/>
      <c r="G33" s="13"/>
      <c r="H33" s="14" t="s">
        <v>157</v>
      </c>
      <c r="I33" s="14" t="s">
        <v>158</v>
      </c>
      <c r="J33" s="14" t="s">
        <v>159</v>
      </c>
      <c r="K33" s="16"/>
    </row>
    <row r="34" customFormat="false" ht="15" hidden="false" customHeight="false" outlineLevel="0" collapsed="false">
      <c r="A34" s="13" t="n">
        <v>33</v>
      </c>
      <c r="B34" s="14" t="s">
        <v>10</v>
      </c>
      <c r="C34" s="14" t="s">
        <v>135</v>
      </c>
      <c r="D34" s="15" t="s">
        <v>160</v>
      </c>
      <c r="E34" s="13" t="s">
        <v>15</v>
      </c>
      <c r="F34" s="13"/>
      <c r="G34" s="13"/>
      <c r="H34" s="14" t="s">
        <v>161</v>
      </c>
      <c r="I34" s="14" t="s">
        <v>162</v>
      </c>
      <c r="J34" s="14" t="s">
        <v>163</v>
      </c>
      <c r="K34" s="16"/>
    </row>
    <row r="35" customFormat="false" ht="15" hidden="false" customHeight="false" outlineLevel="0" collapsed="false">
      <c r="A35" s="13" t="n">
        <v>34</v>
      </c>
      <c r="B35" s="14" t="s">
        <v>10</v>
      </c>
      <c r="C35" s="14" t="s">
        <v>135</v>
      </c>
      <c r="D35" s="15" t="s">
        <v>164</v>
      </c>
      <c r="E35" s="13" t="s">
        <v>17</v>
      </c>
      <c r="F35" s="13"/>
      <c r="G35" s="13" t="s">
        <v>41</v>
      </c>
      <c r="H35" s="14" t="s">
        <v>165</v>
      </c>
      <c r="I35" s="14" t="s">
        <v>166</v>
      </c>
      <c r="J35" s="14"/>
      <c r="K35" s="16"/>
    </row>
    <row r="36" customFormat="false" ht="23.85" hidden="false" customHeight="false" outlineLevel="0" collapsed="false">
      <c r="A36" s="13" t="n">
        <v>35</v>
      </c>
      <c r="B36" s="14" t="s">
        <v>10</v>
      </c>
      <c r="C36" s="14" t="s">
        <v>167</v>
      </c>
      <c r="D36" s="15" t="s">
        <v>168</v>
      </c>
      <c r="E36" s="13" t="s">
        <v>15</v>
      </c>
      <c r="F36" s="13"/>
      <c r="G36" s="13" t="s">
        <v>41</v>
      </c>
      <c r="H36" s="14" t="s">
        <v>169</v>
      </c>
      <c r="I36" s="14" t="s">
        <v>170</v>
      </c>
      <c r="J36" s="14" t="s">
        <v>171</v>
      </c>
      <c r="K36" s="16"/>
    </row>
    <row r="37" customFormat="false" ht="23.85" hidden="false" customHeight="false" outlineLevel="0" collapsed="false">
      <c r="A37" s="13" t="n">
        <v>36</v>
      </c>
      <c r="B37" s="14" t="s">
        <v>10</v>
      </c>
      <c r="C37" s="14" t="s">
        <v>167</v>
      </c>
      <c r="D37" s="15" t="s">
        <v>172</v>
      </c>
      <c r="E37" s="13" t="s">
        <v>17</v>
      </c>
      <c r="F37" s="13"/>
      <c r="G37" s="13" t="s">
        <v>41</v>
      </c>
      <c r="H37" s="14" t="s">
        <v>173</v>
      </c>
      <c r="I37" s="14" t="s">
        <v>174</v>
      </c>
      <c r="J37" s="14"/>
      <c r="K37" s="16"/>
    </row>
    <row r="38" customFormat="false" ht="23.85" hidden="false" customHeight="false" outlineLevel="0" collapsed="false">
      <c r="A38" s="13" t="n">
        <v>37</v>
      </c>
      <c r="B38" s="14" t="s">
        <v>10</v>
      </c>
      <c r="C38" s="14" t="s">
        <v>167</v>
      </c>
      <c r="D38" s="15" t="s">
        <v>175</v>
      </c>
      <c r="E38" s="13" t="s">
        <v>17</v>
      </c>
      <c r="F38" s="13"/>
      <c r="G38" s="13" t="s">
        <v>41</v>
      </c>
      <c r="H38" s="14" t="s">
        <v>176</v>
      </c>
      <c r="I38" s="14" t="s">
        <v>177</v>
      </c>
      <c r="J38" s="14"/>
      <c r="K38" s="16"/>
    </row>
    <row r="39" customFormat="false" ht="23.85" hidden="false" customHeight="false" outlineLevel="0" collapsed="false">
      <c r="A39" s="13" t="n">
        <v>38</v>
      </c>
      <c r="B39" s="14" t="s">
        <v>11</v>
      </c>
      <c r="C39" s="14" t="s">
        <v>178</v>
      </c>
      <c r="D39" s="15" t="s">
        <v>179</v>
      </c>
      <c r="E39" s="13" t="s">
        <v>15</v>
      </c>
      <c r="F39" s="13"/>
      <c r="G39" s="13" t="s">
        <v>41</v>
      </c>
      <c r="H39" s="14" t="s">
        <v>180</v>
      </c>
      <c r="I39" s="14" t="s">
        <v>181</v>
      </c>
      <c r="J39" s="14" t="s">
        <v>182</v>
      </c>
      <c r="K39" s="16"/>
    </row>
    <row r="40" customFormat="false" ht="23.85" hidden="false" customHeight="false" outlineLevel="0" collapsed="false">
      <c r="A40" s="13" t="n">
        <v>39</v>
      </c>
      <c r="B40" s="14" t="s">
        <v>11</v>
      </c>
      <c r="C40" s="14" t="s">
        <v>178</v>
      </c>
      <c r="D40" s="15" t="s">
        <v>183</v>
      </c>
      <c r="E40" s="13" t="s">
        <v>15</v>
      </c>
      <c r="F40" s="13"/>
      <c r="G40" s="13"/>
      <c r="H40" s="14" t="s">
        <v>184</v>
      </c>
      <c r="I40" s="14" t="s">
        <v>185</v>
      </c>
      <c r="J40" s="14" t="s">
        <v>186</v>
      </c>
      <c r="K40" s="16"/>
    </row>
    <row r="41" customFormat="false" ht="23.85" hidden="false" customHeight="false" outlineLevel="0" collapsed="false">
      <c r="A41" s="13" t="n">
        <v>40</v>
      </c>
      <c r="B41" s="14" t="s">
        <v>11</v>
      </c>
      <c r="C41" s="14" t="s">
        <v>178</v>
      </c>
      <c r="D41" s="15" t="s">
        <v>187</v>
      </c>
      <c r="E41" s="13" t="s">
        <v>15</v>
      </c>
      <c r="F41" s="13"/>
      <c r="G41" s="13"/>
      <c r="H41" s="14" t="s">
        <v>188</v>
      </c>
      <c r="I41" s="14" t="s">
        <v>189</v>
      </c>
      <c r="J41" s="14" t="s">
        <v>190</v>
      </c>
      <c r="K41" s="16"/>
    </row>
    <row r="42" customFormat="false" ht="23.85" hidden="false" customHeight="false" outlineLevel="0" collapsed="false">
      <c r="A42" s="13" t="n">
        <v>41</v>
      </c>
      <c r="B42" s="14" t="s">
        <v>11</v>
      </c>
      <c r="C42" s="14" t="s">
        <v>178</v>
      </c>
      <c r="D42" s="15" t="s">
        <v>191</v>
      </c>
      <c r="E42" s="13" t="s">
        <v>17</v>
      </c>
      <c r="F42" s="13"/>
      <c r="G42" s="13" t="s">
        <v>41</v>
      </c>
      <c r="H42" s="14" t="s">
        <v>192</v>
      </c>
      <c r="I42" s="14" t="s">
        <v>193</v>
      </c>
      <c r="J42" s="14"/>
      <c r="K42" s="16"/>
    </row>
    <row r="43" customFormat="false" ht="23.85" hidden="false" customHeight="false" outlineLevel="0" collapsed="false">
      <c r="A43" s="13" t="n">
        <v>42</v>
      </c>
      <c r="B43" s="14" t="s">
        <v>11</v>
      </c>
      <c r="C43" s="14" t="s">
        <v>178</v>
      </c>
      <c r="D43" s="15" t="s">
        <v>194</v>
      </c>
      <c r="E43" s="13" t="s">
        <v>17</v>
      </c>
      <c r="F43" s="13" t="s">
        <v>41</v>
      </c>
      <c r="G43" s="13"/>
      <c r="H43" s="14" t="s">
        <v>195</v>
      </c>
      <c r="I43" s="14" t="s">
        <v>196</v>
      </c>
      <c r="J43" s="14"/>
      <c r="K43" s="16"/>
    </row>
    <row r="44" customFormat="false" ht="23.85" hidden="false" customHeight="false" outlineLevel="0" collapsed="false">
      <c r="A44" s="13" t="n">
        <v>43</v>
      </c>
      <c r="B44" s="14" t="s">
        <v>11</v>
      </c>
      <c r="C44" s="14" t="s">
        <v>178</v>
      </c>
      <c r="D44" s="15" t="s">
        <v>197</v>
      </c>
      <c r="E44" s="13" t="s">
        <v>17</v>
      </c>
      <c r="F44" s="13"/>
      <c r="G44" s="13"/>
      <c r="H44" s="14" t="s">
        <v>198</v>
      </c>
      <c r="I44" s="14" t="s">
        <v>199</v>
      </c>
      <c r="J44" s="14" t="s">
        <v>200</v>
      </c>
      <c r="K44" s="16"/>
    </row>
    <row r="45" customFormat="false" ht="23.85" hidden="false" customHeight="false" outlineLevel="0" collapsed="false">
      <c r="A45" s="13" t="n">
        <v>44</v>
      </c>
      <c r="B45" s="14" t="s">
        <v>11</v>
      </c>
      <c r="C45" s="14" t="s">
        <v>201</v>
      </c>
      <c r="D45" s="15" t="s">
        <v>202</v>
      </c>
      <c r="E45" s="13" t="s">
        <v>15</v>
      </c>
      <c r="F45" s="13"/>
      <c r="G45" s="13"/>
      <c r="H45" s="14" t="s">
        <v>203</v>
      </c>
      <c r="I45" s="14" t="s">
        <v>204</v>
      </c>
      <c r="J45" s="14" t="s">
        <v>205</v>
      </c>
      <c r="K45" s="16"/>
    </row>
    <row r="46" customFormat="false" ht="23.85" hidden="false" customHeight="false" outlineLevel="0" collapsed="false">
      <c r="A46" s="13" t="n">
        <v>45</v>
      </c>
      <c r="B46" s="14" t="s">
        <v>11</v>
      </c>
      <c r="C46" s="14" t="s">
        <v>201</v>
      </c>
      <c r="D46" s="15" t="s">
        <v>206</v>
      </c>
      <c r="E46" s="13" t="s">
        <v>15</v>
      </c>
      <c r="F46" s="13"/>
      <c r="G46" s="13"/>
      <c r="H46" s="14" t="s">
        <v>207</v>
      </c>
      <c r="I46" s="14" t="s">
        <v>208</v>
      </c>
      <c r="J46" s="14" t="s">
        <v>209</v>
      </c>
      <c r="K46" s="16"/>
    </row>
    <row r="47" customFormat="false" ht="23.85" hidden="false" customHeight="false" outlineLevel="0" collapsed="false">
      <c r="A47" s="13" t="n">
        <v>46</v>
      </c>
      <c r="B47" s="14" t="s">
        <v>11</v>
      </c>
      <c r="C47" s="14" t="s">
        <v>201</v>
      </c>
      <c r="D47" s="15" t="s">
        <v>210</v>
      </c>
      <c r="E47" s="13" t="s">
        <v>15</v>
      </c>
      <c r="F47" s="13"/>
      <c r="G47" s="13"/>
      <c r="H47" s="14" t="s">
        <v>211</v>
      </c>
      <c r="I47" s="14" t="s">
        <v>212</v>
      </c>
      <c r="J47" s="14" t="s">
        <v>213</v>
      </c>
      <c r="K47" s="16"/>
    </row>
    <row r="48" customFormat="false" ht="23.85" hidden="false" customHeight="false" outlineLevel="0" collapsed="false">
      <c r="A48" s="13" t="n">
        <v>47</v>
      </c>
      <c r="B48" s="14" t="s">
        <v>11</v>
      </c>
      <c r="C48" s="14" t="s">
        <v>201</v>
      </c>
      <c r="D48" s="15" t="s">
        <v>214</v>
      </c>
      <c r="E48" s="13" t="s">
        <v>15</v>
      </c>
      <c r="F48" s="13"/>
      <c r="G48" s="13"/>
      <c r="H48" s="14" t="s">
        <v>215</v>
      </c>
      <c r="I48" s="14" t="s">
        <v>216</v>
      </c>
      <c r="J48" s="14" t="s">
        <v>217</v>
      </c>
      <c r="K48" s="16"/>
    </row>
    <row r="49" customFormat="false" ht="23.85" hidden="false" customHeight="false" outlineLevel="0" collapsed="false">
      <c r="A49" s="13" t="n">
        <v>48</v>
      </c>
      <c r="B49" s="14" t="s">
        <v>11</v>
      </c>
      <c r="C49" s="14" t="s">
        <v>201</v>
      </c>
      <c r="D49" s="15" t="s">
        <v>218</v>
      </c>
      <c r="E49" s="13" t="s">
        <v>15</v>
      </c>
      <c r="F49" s="13" t="s">
        <v>41</v>
      </c>
      <c r="G49" s="13" t="s">
        <v>41</v>
      </c>
      <c r="H49" s="14" t="s">
        <v>219</v>
      </c>
      <c r="I49" s="14" t="s">
        <v>220</v>
      </c>
      <c r="J49" s="14" t="s">
        <v>221</v>
      </c>
      <c r="K49" s="16"/>
    </row>
    <row r="50" customFormat="false" ht="23.85" hidden="false" customHeight="false" outlineLevel="0" collapsed="false">
      <c r="A50" s="13" t="n">
        <v>49</v>
      </c>
      <c r="B50" s="14" t="s">
        <v>11</v>
      </c>
      <c r="C50" s="14" t="s">
        <v>201</v>
      </c>
      <c r="D50" s="15" t="s">
        <v>222</v>
      </c>
      <c r="E50" s="13" t="s">
        <v>15</v>
      </c>
      <c r="F50" s="13"/>
      <c r="G50" s="13"/>
      <c r="H50" s="14" t="s">
        <v>223</v>
      </c>
      <c r="I50" s="14" t="s">
        <v>224</v>
      </c>
      <c r="J50" s="14" t="s">
        <v>225</v>
      </c>
      <c r="K50" s="16"/>
    </row>
    <row r="51" customFormat="false" ht="23.85" hidden="false" customHeight="false" outlineLevel="0" collapsed="false">
      <c r="A51" s="13" t="n">
        <v>50</v>
      </c>
      <c r="B51" s="14" t="s">
        <v>11</v>
      </c>
      <c r="C51" s="14" t="s">
        <v>201</v>
      </c>
      <c r="D51" s="15" t="s">
        <v>226</v>
      </c>
      <c r="E51" s="13" t="s">
        <v>17</v>
      </c>
      <c r="F51" s="13"/>
      <c r="G51" s="13" t="s">
        <v>41</v>
      </c>
      <c r="H51" s="14" t="s">
        <v>227</v>
      </c>
      <c r="I51" s="14" t="s">
        <v>228</v>
      </c>
      <c r="J51" s="14"/>
      <c r="K51" s="16"/>
    </row>
    <row r="52" customFormat="false" ht="23.85" hidden="false" customHeight="false" outlineLevel="0" collapsed="false">
      <c r="A52" s="13" t="n">
        <v>51</v>
      </c>
      <c r="B52" s="14" t="s">
        <v>11</v>
      </c>
      <c r="C52" s="14" t="s">
        <v>201</v>
      </c>
      <c r="D52" s="15" t="s">
        <v>229</v>
      </c>
      <c r="E52" s="13" t="s">
        <v>17</v>
      </c>
      <c r="F52" s="13"/>
      <c r="G52" s="13"/>
      <c r="H52" s="14" t="s">
        <v>230</v>
      </c>
      <c r="I52" s="14" t="s">
        <v>231</v>
      </c>
      <c r="J52" s="14"/>
      <c r="K52" s="16"/>
    </row>
    <row r="53" customFormat="false" ht="23.85" hidden="false" customHeight="false" outlineLevel="0" collapsed="false">
      <c r="A53" s="13" t="n">
        <v>52</v>
      </c>
      <c r="B53" s="14" t="s">
        <v>11</v>
      </c>
      <c r="C53" s="14" t="s">
        <v>201</v>
      </c>
      <c r="D53" s="15" t="s">
        <v>232</v>
      </c>
      <c r="E53" s="13" t="s">
        <v>17</v>
      </c>
      <c r="F53" s="13"/>
      <c r="G53" s="13"/>
      <c r="H53" s="14" t="s">
        <v>233</v>
      </c>
      <c r="I53" s="14" t="s">
        <v>234</v>
      </c>
      <c r="J53" s="14"/>
      <c r="K53" s="16"/>
    </row>
    <row r="54" customFormat="false" ht="23.85" hidden="false" customHeight="false" outlineLevel="0" collapsed="false">
      <c r="A54" s="13" t="n">
        <v>53</v>
      </c>
      <c r="B54" s="14" t="s">
        <v>11</v>
      </c>
      <c r="C54" s="14" t="s">
        <v>201</v>
      </c>
      <c r="D54" s="15" t="s">
        <v>235</v>
      </c>
      <c r="E54" s="13" t="s">
        <v>17</v>
      </c>
      <c r="F54" s="13" t="s">
        <v>41</v>
      </c>
      <c r="G54" s="13"/>
      <c r="H54" s="14" t="s">
        <v>236</v>
      </c>
      <c r="I54" s="14" t="s">
        <v>237</v>
      </c>
      <c r="J54" s="14"/>
      <c r="K54" s="16"/>
    </row>
    <row r="55" customFormat="false" ht="23.85" hidden="false" customHeight="false" outlineLevel="0" collapsed="false">
      <c r="A55" s="13" t="n">
        <v>54</v>
      </c>
      <c r="B55" s="14" t="s">
        <v>11</v>
      </c>
      <c r="C55" s="14" t="s">
        <v>201</v>
      </c>
      <c r="D55" s="15" t="s">
        <v>238</v>
      </c>
      <c r="E55" s="13" t="s">
        <v>17</v>
      </c>
      <c r="F55" s="13" t="s">
        <v>41</v>
      </c>
      <c r="G55" s="13"/>
      <c r="H55" s="14" t="s">
        <v>239</v>
      </c>
      <c r="I55" s="14" t="s">
        <v>240</v>
      </c>
      <c r="J55" s="14"/>
      <c r="K55" s="16"/>
    </row>
    <row r="56" customFormat="false" ht="23.85" hidden="false" customHeight="false" outlineLevel="0" collapsed="false">
      <c r="A56" s="13" t="n">
        <v>55</v>
      </c>
      <c r="B56" s="14" t="s">
        <v>11</v>
      </c>
      <c r="C56" s="14" t="s">
        <v>241</v>
      </c>
      <c r="D56" s="15" t="s">
        <v>242</v>
      </c>
      <c r="E56" s="13" t="s">
        <v>15</v>
      </c>
      <c r="F56" s="13"/>
      <c r="G56" s="13" t="s">
        <v>41</v>
      </c>
      <c r="H56" s="14" t="s">
        <v>243</v>
      </c>
      <c r="I56" s="14" t="s">
        <v>244</v>
      </c>
      <c r="J56" s="14" t="s">
        <v>245</v>
      </c>
      <c r="K56" s="16"/>
    </row>
    <row r="57" customFormat="false" ht="23.85" hidden="false" customHeight="false" outlineLevel="0" collapsed="false">
      <c r="A57" s="13" t="n">
        <v>56</v>
      </c>
      <c r="B57" s="14" t="s">
        <v>11</v>
      </c>
      <c r="C57" s="14" t="s">
        <v>241</v>
      </c>
      <c r="D57" s="15" t="s">
        <v>246</v>
      </c>
      <c r="E57" s="13" t="s">
        <v>15</v>
      </c>
      <c r="F57" s="13"/>
      <c r="G57" s="13"/>
      <c r="H57" s="14" t="s">
        <v>247</v>
      </c>
      <c r="I57" s="14" t="s">
        <v>248</v>
      </c>
      <c r="J57" s="14" t="s">
        <v>249</v>
      </c>
      <c r="K57" s="16"/>
    </row>
    <row r="58" customFormat="false" ht="23.85" hidden="false" customHeight="false" outlineLevel="0" collapsed="false">
      <c r="A58" s="13" t="n">
        <v>57</v>
      </c>
      <c r="B58" s="14" t="s">
        <v>11</v>
      </c>
      <c r="C58" s="14" t="s">
        <v>241</v>
      </c>
      <c r="D58" s="15" t="s">
        <v>250</v>
      </c>
      <c r="E58" s="13" t="s">
        <v>15</v>
      </c>
      <c r="F58" s="13" t="s">
        <v>41</v>
      </c>
      <c r="G58" s="13"/>
      <c r="H58" s="14" t="s">
        <v>251</v>
      </c>
      <c r="I58" s="14" t="s">
        <v>252</v>
      </c>
      <c r="J58" s="14" t="s">
        <v>253</v>
      </c>
      <c r="K58" s="16"/>
    </row>
    <row r="59" customFormat="false" ht="23.85" hidden="false" customHeight="false" outlineLevel="0" collapsed="false">
      <c r="A59" s="13" t="n">
        <v>58</v>
      </c>
      <c r="B59" s="14" t="s">
        <v>11</v>
      </c>
      <c r="C59" s="14" t="s">
        <v>241</v>
      </c>
      <c r="D59" s="15" t="s">
        <v>254</v>
      </c>
      <c r="E59" s="13" t="s">
        <v>15</v>
      </c>
      <c r="F59" s="13"/>
      <c r="G59" s="13"/>
      <c r="H59" s="14" t="s">
        <v>255</v>
      </c>
      <c r="I59" s="14" t="s">
        <v>256</v>
      </c>
      <c r="J59" s="14" t="s">
        <v>257</v>
      </c>
      <c r="K59" s="16"/>
    </row>
    <row r="60" customFormat="false" ht="23.85" hidden="false" customHeight="false" outlineLevel="0" collapsed="false">
      <c r="A60" s="13" t="n">
        <v>59</v>
      </c>
      <c r="B60" s="14" t="s">
        <v>11</v>
      </c>
      <c r="C60" s="14" t="s">
        <v>241</v>
      </c>
      <c r="D60" s="15" t="s">
        <v>258</v>
      </c>
      <c r="E60" s="13" t="s">
        <v>15</v>
      </c>
      <c r="F60" s="13"/>
      <c r="G60" s="13"/>
      <c r="H60" s="14" t="s">
        <v>259</v>
      </c>
      <c r="I60" s="14" t="s">
        <v>260</v>
      </c>
      <c r="J60" s="14" t="s">
        <v>261</v>
      </c>
      <c r="K60" s="16"/>
    </row>
    <row r="61" customFormat="false" ht="23.85" hidden="false" customHeight="false" outlineLevel="0" collapsed="false">
      <c r="A61" s="13" t="n">
        <v>60</v>
      </c>
      <c r="B61" s="14" t="s">
        <v>11</v>
      </c>
      <c r="C61" s="14" t="s">
        <v>241</v>
      </c>
      <c r="D61" s="15" t="s">
        <v>262</v>
      </c>
      <c r="E61" s="13" t="s">
        <v>15</v>
      </c>
      <c r="F61" s="13"/>
      <c r="G61" s="13"/>
      <c r="H61" s="14" t="s">
        <v>263</v>
      </c>
      <c r="I61" s="14" t="s">
        <v>264</v>
      </c>
      <c r="J61" s="14" t="s">
        <v>265</v>
      </c>
      <c r="K61" s="16"/>
    </row>
    <row r="62" customFormat="false" ht="23.85" hidden="false" customHeight="false" outlineLevel="0" collapsed="false">
      <c r="A62" s="13" t="n">
        <v>61</v>
      </c>
      <c r="B62" s="14" t="s">
        <v>11</v>
      </c>
      <c r="C62" s="14" t="s">
        <v>241</v>
      </c>
      <c r="D62" s="15" t="s">
        <v>266</v>
      </c>
      <c r="E62" s="13" t="s">
        <v>15</v>
      </c>
      <c r="F62" s="13"/>
      <c r="G62" s="13"/>
      <c r="H62" s="14" t="s">
        <v>267</v>
      </c>
      <c r="I62" s="14" t="s">
        <v>268</v>
      </c>
      <c r="J62" s="14" t="s">
        <v>269</v>
      </c>
      <c r="K62" s="16"/>
    </row>
    <row r="63" customFormat="false" ht="23.85" hidden="false" customHeight="false" outlineLevel="0" collapsed="false">
      <c r="A63" s="13" t="n">
        <v>62</v>
      </c>
      <c r="B63" s="14" t="s">
        <v>11</v>
      </c>
      <c r="C63" s="14" t="s">
        <v>241</v>
      </c>
      <c r="D63" s="15" t="s">
        <v>270</v>
      </c>
      <c r="E63" s="13" t="s">
        <v>15</v>
      </c>
      <c r="F63" s="13"/>
      <c r="G63" s="13"/>
      <c r="H63" s="14" t="s">
        <v>271</v>
      </c>
      <c r="I63" s="14" t="s">
        <v>272</v>
      </c>
      <c r="J63" s="14" t="s">
        <v>273</v>
      </c>
      <c r="K63" s="16"/>
    </row>
    <row r="64" customFormat="false" ht="23.85" hidden="false" customHeight="false" outlineLevel="0" collapsed="false">
      <c r="A64" s="13" t="n">
        <v>63</v>
      </c>
      <c r="B64" s="14" t="s">
        <v>11</v>
      </c>
      <c r="C64" s="14" t="s">
        <v>241</v>
      </c>
      <c r="D64" s="15" t="s">
        <v>274</v>
      </c>
      <c r="E64" s="13" t="s">
        <v>17</v>
      </c>
      <c r="F64" s="13"/>
      <c r="G64" s="13"/>
      <c r="H64" s="14" t="s">
        <v>275</v>
      </c>
      <c r="I64" s="14" t="s">
        <v>276</v>
      </c>
      <c r="J64" s="14"/>
      <c r="K64" s="16"/>
    </row>
    <row r="65" customFormat="false" ht="23.85" hidden="false" customHeight="false" outlineLevel="0" collapsed="false">
      <c r="A65" s="13" t="n">
        <v>64</v>
      </c>
      <c r="B65" s="14" t="s">
        <v>11</v>
      </c>
      <c r="C65" s="14" t="s">
        <v>241</v>
      </c>
      <c r="D65" s="15" t="s">
        <v>277</v>
      </c>
      <c r="E65" s="13" t="s">
        <v>17</v>
      </c>
      <c r="F65" s="13"/>
      <c r="G65" s="13" t="s">
        <v>41</v>
      </c>
      <c r="H65" s="14" t="s">
        <v>278</v>
      </c>
      <c r="I65" s="14" t="s">
        <v>279</v>
      </c>
      <c r="J65" s="14"/>
      <c r="K65" s="16"/>
    </row>
    <row r="66" customFormat="false" ht="23.85" hidden="false" customHeight="false" outlineLevel="0" collapsed="false">
      <c r="A66" s="13" t="n">
        <v>65</v>
      </c>
      <c r="B66" s="14" t="s">
        <v>11</v>
      </c>
      <c r="C66" s="14" t="s">
        <v>241</v>
      </c>
      <c r="D66" s="15" t="s">
        <v>280</v>
      </c>
      <c r="E66" s="13" t="s">
        <v>17</v>
      </c>
      <c r="F66" s="13"/>
      <c r="G66" s="13"/>
      <c r="H66" s="14" t="s">
        <v>281</v>
      </c>
      <c r="I66" s="14" t="s">
        <v>282</v>
      </c>
      <c r="J66" s="14"/>
      <c r="K66" s="16"/>
    </row>
    <row r="67" customFormat="false" ht="23.85" hidden="false" customHeight="false" outlineLevel="0" collapsed="false">
      <c r="A67" s="13" t="n">
        <v>66</v>
      </c>
      <c r="B67" s="14" t="s">
        <v>11</v>
      </c>
      <c r="C67" s="14" t="s">
        <v>283</v>
      </c>
      <c r="D67" s="15" t="s">
        <v>284</v>
      </c>
      <c r="E67" s="13" t="s">
        <v>15</v>
      </c>
      <c r="F67" s="13"/>
      <c r="G67" s="13"/>
      <c r="H67" s="14" t="s">
        <v>285</v>
      </c>
      <c r="I67" s="14" t="s">
        <v>286</v>
      </c>
      <c r="J67" s="14" t="s">
        <v>287</v>
      </c>
      <c r="K67" s="16"/>
    </row>
    <row r="68" customFormat="false" ht="23.85" hidden="false" customHeight="false" outlineLevel="0" collapsed="false">
      <c r="A68" s="13" t="n">
        <v>67</v>
      </c>
      <c r="B68" s="14" t="s">
        <v>11</v>
      </c>
      <c r="C68" s="14" t="s">
        <v>283</v>
      </c>
      <c r="D68" s="15" t="s">
        <v>288</v>
      </c>
      <c r="E68" s="13" t="s">
        <v>15</v>
      </c>
      <c r="F68" s="13"/>
      <c r="G68" s="13"/>
      <c r="H68" s="14" t="s">
        <v>289</v>
      </c>
      <c r="I68" s="14" t="s">
        <v>290</v>
      </c>
      <c r="J68" s="14" t="s">
        <v>291</v>
      </c>
      <c r="K68" s="16"/>
    </row>
    <row r="69" customFormat="false" ht="23.85" hidden="false" customHeight="false" outlineLevel="0" collapsed="false">
      <c r="A69" s="13" t="n">
        <v>68</v>
      </c>
      <c r="B69" s="14" t="s">
        <v>11</v>
      </c>
      <c r="C69" s="14" t="s">
        <v>283</v>
      </c>
      <c r="D69" s="15" t="s">
        <v>292</v>
      </c>
      <c r="E69" s="13" t="s">
        <v>15</v>
      </c>
      <c r="F69" s="13"/>
      <c r="G69" s="13"/>
      <c r="H69" s="14" t="s">
        <v>293</v>
      </c>
      <c r="I69" s="14" t="s">
        <v>294</v>
      </c>
      <c r="J69" s="14" t="s">
        <v>295</v>
      </c>
      <c r="K69" s="16"/>
    </row>
    <row r="70" customFormat="false" ht="23.85" hidden="false" customHeight="false" outlineLevel="0" collapsed="false">
      <c r="A70" s="13" t="n">
        <v>69</v>
      </c>
      <c r="B70" s="14" t="s">
        <v>11</v>
      </c>
      <c r="C70" s="14" t="s">
        <v>283</v>
      </c>
      <c r="D70" s="15" t="s">
        <v>296</v>
      </c>
      <c r="E70" s="13" t="s">
        <v>17</v>
      </c>
      <c r="F70" s="13"/>
      <c r="G70" s="13" t="s">
        <v>41</v>
      </c>
      <c r="H70" s="14" t="s">
        <v>297</v>
      </c>
      <c r="I70" s="14" t="s">
        <v>298</v>
      </c>
      <c r="J70" s="14"/>
      <c r="K70" s="16"/>
    </row>
    <row r="71" customFormat="false" ht="23.85" hidden="false" customHeight="false" outlineLevel="0" collapsed="false">
      <c r="A71" s="13" t="n">
        <v>70</v>
      </c>
      <c r="B71" s="14" t="s">
        <v>11</v>
      </c>
      <c r="C71" s="14" t="s">
        <v>299</v>
      </c>
      <c r="D71" s="15" t="s">
        <v>300</v>
      </c>
      <c r="E71" s="13" t="s">
        <v>15</v>
      </c>
      <c r="F71" s="13"/>
      <c r="G71" s="13"/>
      <c r="H71" s="14" t="s">
        <v>301</v>
      </c>
      <c r="I71" s="14" t="s">
        <v>302</v>
      </c>
      <c r="J71" s="14" t="s">
        <v>303</v>
      </c>
      <c r="K71" s="16"/>
    </row>
    <row r="72" customFormat="false" ht="35.05" hidden="false" customHeight="false" outlineLevel="0" collapsed="false">
      <c r="A72" s="13" t="n">
        <v>71</v>
      </c>
      <c r="B72" s="14" t="s">
        <v>11</v>
      </c>
      <c r="C72" s="14" t="s">
        <v>299</v>
      </c>
      <c r="D72" s="15" t="s">
        <v>304</v>
      </c>
      <c r="E72" s="13" t="s">
        <v>17</v>
      </c>
      <c r="F72" s="13" t="s">
        <v>41</v>
      </c>
      <c r="G72" s="13" t="s">
        <v>41</v>
      </c>
      <c r="H72" s="14" t="s">
        <v>305</v>
      </c>
      <c r="I72" s="14" t="s">
        <v>306</v>
      </c>
      <c r="J72" s="14"/>
      <c r="K72" s="16"/>
    </row>
    <row r="73" customFormat="false" ht="23.85" hidden="false" customHeight="false" outlineLevel="0" collapsed="false">
      <c r="A73" s="13" t="n">
        <v>72</v>
      </c>
      <c r="B73" s="14" t="s">
        <v>11</v>
      </c>
      <c r="C73" s="14" t="s">
        <v>299</v>
      </c>
      <c r="D73" s="15" t="s">
        <v>307</v>
      </c>
      <c r="E73" s="13" t="s">
        <v>17</v>
      </c>
      <c r="F73" s="13" t="s">
        <v>41</v>
      </c>
      <c r="G73" s="13"/>
      <c r="H73" s="14" t="s">
        <v>308</v>
      </c>
      <c r="I73" s="14" t="s">
        <v>309</v>
      </c>
      <c r="J73" s="14"/>
      <c r="K73" s="16"/>
    </row>
    <row r="74" customFormat="false" ht="23.85" hidden="false" customHeight="false" outlineLevel="0" collapsed="false">
      <c r="A74" s="13" t="n">
        <v>73</v>
      </c>
      <c r="B74" s="14" t="s">
        <v>11</v>
      </c>
      <c r="C74" s="14" t="s">
        <v>299</v>
      </c>
      <c r="D74" s="15" t="s">
        <v>310</v>
      </c>
      <c r="E74" s="13" t="s">
        <v>17</v>
      </c>
      <c r="F74" s="13"/>
      <c r="G74" s="13"/>
      <c r="H74" s="14" t="s">
        <v>311</v>
      </c>
      <c r="I74" s="14" t="s">
        <v>312</v>
      </c>
      <c r="J74" s="14"/>
      <c r="K74" s="16"/>
    </row>
    <row r="75" customFormat="false" ht="23.85" hidden="false" customHeight="false" outlineLevel="0" collapsed="false">
      <c r="A75" s="13" t="n">
        <v>74</v>
      </c>
      <c r="B75" s="14" t="s">
        <v>11</v>
      </c>
      <c r="C75" s="14" t="s">
        <v>299</v>
      </c>
      <c r="D75" s="15" t="s">
        <v>313</v>
      </c>
      <c r="E75" s="13" t="s">
        <v>17</v>
      </c>
      <c r="F75" s="13" t="s">
        <v>41</v>
      </c>
      <c r="G75" s="13"/>
      <c r="H75" s="14" t="s">
        <v>314</v>
      </c>
      <c r="I75" s="14" t="s">
        <v>315</v>
      </c>
      <c r="J75" s="14"/>
      <c r="K75" s="16"/>
    </row>
    <row r="76" customFormat="false" ht="23.85" hidden="false" customHeight="false" outlineLevel="0" collapsed="false">
      <c r="A76" s="13" t="n">
        <v>75</v>
      </c>
      <c r="B76" s="14" t="s">
        <v>11</v>
      </c>
      <c r="C76" s="14" t="s">
        <v>299</v>
      </c>
      <c r="D76" s="15" t="s">
        <v>316</v>
      </c>
      <c r="E76" s="13" t="s">
        <v>17</v>
      </c>
      <c r="F76" s="13"/>
      <c r="G76" s="13"/>
      <c r="H76" s="14" t="s">
        <v>317</v>
      </c>
      <c r="I76" s="14" t="s">
        <v>318</v>
      </c>
      <c r="J76" s="14"/>
      <c r="K76" s="16"/>
    </row>
    <row r="77" customFormat="false" ht="23.85" hidden="false" customHeight="false" outlineLevel="0" collapsed="false">
      <c r="A77" s="13" t="n">
        <v>76</v>
      </c>
      <c r="B77" s="14" t="s">
        <v>11</v>
      </c>
      <c r="C77" s="14" t="s">
        <v>299</v>
      </c>
      <c r="D77" s="15" t="s">
        <v>319</v>
      </c>
      <c r="E77" s="13" t="s">
        <v>17</v>
      </c>
      <c r="F77" s="13" t="s">
        <v>41</v>
      </c>
      <c r="G77" s="13"/>
      <c r="H77" s="14" t="s">
        <v>320</v>
      </c>
      <c r="I77" s="14" t="s">
        <v>321</v>
      </c>
      <c r="J77" s="14"/>
      <c r="K77" s="16"/>
    </row>
    <row r="78" customFormat="false" ht="35.05" hidden="false" customHeight="false" outlineLevel="0" collapsed="false">
      <c r="A78" s="13" t="n">
        <v>77</v>
      </c>
      <c r="B78" s="14" t="s">
        <v>11</v>
      </c>
      <c r="C78" s="14" t="s">
        <v>299</v>
      </c>
      <c r="D78" s="15" t="s">
        <v>322</v>
      </c>
      <c r="E78" s="13" t="s">
        <v>17</v>
      </c>
      <c r="F78" s="13" t="s">
        <v>41</v>
      </c>
      <c r="G78" s="13"/>
      <c r="H78" s="14" t="s">
        <v>323</v>
      </c>
      <c r="I78" s="14" t="s">
        <v>324</v>
      </c>
      <c r="J78" s="14"/>
      <c r="K78" s="16"/>
    </row>
    <row r="79" customFormat="false" ht="23.85" hidden="false" customHeight="false" outlineLevel="0" collapsed="false">
      <c r="A79" s="13" t="n">
        <v>78</v>
      </c>
      <c r="B79" s="14" t="s">
        <v>11</v>
      </c>
      <c r="C79" s="14" t="s">
        <v>299</v>
      </c>
      <c r="D79" s="15" t="s">
        <v>325</v>
      </c>
      <c r="E79" s="13" t="s">
        <v>17</v>
      </c>
      <c r="F79" s="13"/>
      <c r="G79" s="13"/>
      <c r="H79" s="14" t="s">
        <v>326</v>
      </c>
      <c r="I79" s="14" t="s">
        <v>327</v>
      </c>
      <c r="J79" s="14"/>
      <c r="K79" s="16"/>
    </row>
    <row r="80" customFormat="false" ht="23.85" hidden="false" customHeight="false" outlineLevel="0" collapsed="false">
      <c r="A80" s="13" t="n">
        <v>79</v>
      </c>
      <c r="B80" s="14" t="s">
        <v>12</v>
      </c>
      <c r="C80" s="14" t="s">
        <v>328</v>
      </c>
      <c r="D80" s="15" t="s">
        <v>329</v>
      </c>
      <c r="E80" s="13" t="s">
        <v>15</v>
      </c>
      <c r="F80" s="13"/>
      <c r="G80" s="13"/>
      <c r="H80" s="14" t="s">
        <v>330</v>
      </c>
      <c r="I80" s="14" t="s">
        <v>331</v>
      </c>
      <c r="J80" s="14" t="s">
        <v>332</v>
      </c>
      <c r="K80" s="16"/>
    </row>
    <row r="81" customFormat="false" ht="23.85" hidden="false" customHeight="false" outlineLevel="0" collapsed="false">
      <c r="A81" s="13" t="n">
        <v>80</v>
      </c>
      <c r="B81" s="14" t="s">
        <v>12</v>
      </c>
      <c r="C81" s="14" t="s">
        <v>328</v>
      </c>
      <c r="D81" s="15" t="s">
        <v>333</v>
      </c>
      <c r="E81" s="13" t="s">
        <v>17</v>
      </c>
      <c r="F81" s="13"/>
      <c r="G81" s="13"/>
      <c r="H81" s="14" t="s">
        <v>334</v>
      </c>
      <c r="I81" s="14" t="s">
        <v>335</v>
      </c>
      <c r="J81" s="14"/>
      <c r="K81" s="16"/>
    </row>
    <row r="82" customFormat="false" ht="23.85" hidden="false" customHeight="false" outlineLevel="0" collapsed="false">
      <c r="A82" s="13" t="n">
        <v>81</v>
      </c>
      <c r="B82" s="14" t="s">
        <v>12</v>
      </c>
      <c r="C82" s="14" t="s">
        <v>328</v>
      </c>
      <c r="D82" s="15" t="s">
        <v>336</v>
      </c>
      <c r="E82" s="13" t="s">
        <v>17</v>
      </c>
      <c r="F82" s="13" t="s">
        <v>41</v>
      </c>
      <c r="G82" s="13"/>
      <c r="H82" s="14" t="s">
        <v>337</v>
      </c>
      <c r="I82" s="14" t="s">
        <v>338</v>
      </c>
      <c r="J82" s="14"/>
      <c r="K82" s="16"/>
    </row>
    <row r="83" customFormat="false" ht="23.85" hidden="false" customHeight="false" outlineLevel="0" collapsed="false">
      <c r="A83" s="13" t="n">
        <v>82</v>
      </c>
      <c r="B83" s="14" t="s">
        <v>12</v>
      </c>
      <c r="C83" s="14" t="s">
        <v>339</v>
      </c>
      <c r="D83" s="15" t="s">
        <v>340</v>
      </c>
      <c r="E83" s="13" t="s">
        <v>15</v>
      </c>
      <c r="F83" s="13"/>
      <c r="G83" s="13"/>
      <c r="H83" s="14" t="s">
        <v>341</v>
      </c>
      <c r="I83" s="14" t="s">
        <v>342</v>
      </c>
      <c r="J83" s="14" t="s">
        <v>343</v>
      </c>
      <c r="K83" s="16"/>
    </row>
    <row r="84" customFormat="false" ht="23.85" hidden="false" customHeight="false" outlineLevel="0" collapsed="false">
      <c r="A84" s="13" t="n">
        <v>83</v>
      </c>
      <c r="B84" s="14" t="s">
        <v>12</v>
      </c>
      <c r="C84" s="14" t="s">
        <v>339</v>
      </c>
      <c r="D84" s="15" t="s">
        <v>344</v>
      </c>
      <c r="E84" s="13" t="s">
        <v>15</v>
      </c>
      <c r="F84" s="13"/>
      <c r="G84" s="13"/>
      <c r="H84" s="14" t="s">
        <v>345</v>
      </c>
      <c r="I84" s="14" t="s">
        <v>346</v>
      </c>
      <c r="J84" s="14" t="s">
        <v>347</v>
      </c>
      <c r="K84" s="16"/>
    </row>
    <row r="85" customFormat="false" ht="23.85" hidden="false" customHeight="false" outlineLevel="0" collapsed="false">
      <c r="A85" s="13" t="n">
        <v>84</v>
      </c>
      <c r="B85" s="14" t="s">
        <v>12</v>
      </c>
      <c r="C85" s="14" t="s">
        <v>339</v>
      </c>
      <c r="D85" s="15" t="s">
        <v>348</v>
      </c>
      <c r="E85" s="13" t="s">
        <v>17</v>
      </c>
      <c r="F85" s="13"/>
      <c r="G85" s="13"/>
      <c r="H85" s="14" t="s">
        <v>349</v>
      </c>
      <c r="I85" s="14" t="s">
        <v>350</v>
      </c>
      <c r="J85" s="14"/>
      <c r="K85" s="16"/>
    </row>
    <row r="86" customFormat="false" ht="23.85" hidden="false" customHeight="false" outlineLevel="0" collapsed="false">
      <c r="A86" s="13" t="n">
        <v>85</v>
      </c>
      <c r="B86" s="14" t="s">
        <v>12</v>
      </c>
      <c r="C86" s="14" t="s">
        <v>339</v>
      </c>
      <c r="D86" s="15" t="s">
        <v>351</v>
      </c>
      <c r="E86" s="13" t="s">
        <v>17</v>
      </c>
      <c r="F86" s="13" t="s">
        <v>41</v>
      </c>
      <c r="G86" s="13"/>
      <c r="H86" s="14" t="s">
        <v>352</v>
      </c>
      <c r="I86" s="14" t="s">
        <v>353</v>
      </c>
      <c r="J86" s="14"/>
      <c r="K86" s="16"/>
    </row>
    <row r="87" customFormat="false" ht="23.85" hidden="false" customHeight="false" outlineLevel="0" collapsed="false">
      <c r="A87" s="13" t="n">
        <v>86</v>
      </c>
      <c r="B87" s="14" t="s">
        <v>12</v>
      </c>
      <c r="C87" s="14" t="s">
        <v>354</v>
      </c>
      <c r="D87" s="15" t="s">
        <v>355</v>
      </c>
      <c r="E87" s="13" t="s">
        <v>15</v>
      </c>
      <c r="F87" s="13"/>
      <c r="G87" s="13"/>
      <c r="H87" s="14" t="s">
        <v>356</v>
      </c>
      <c r="I87" s="14" t="s">
        <v>357</v>
      </c>
      <c r="J87" s="14" t="s">
        <v>358</v>
      </c>
      <c r="K87" s="16"/>
    </row>
    <row r="88" customFormat="false" ht="23.85" hidden="false" customHeight="false" outlineLevel="0" collapsed="false">
      <c r="A88" s="13" t="n">
        <v>87</v>
      </c>
      <c r="B88" s="14" t="s">
        <v>12</v>
      </c>
      <c r="C88" s="14" t="s">
        <v>354</v>
      </c>
      <c r="D88" s="15" t="s">
        <v>359</v>
      </c>
      <c r="E88" s="13" t="s">
        <v>17</v>
      </c>
      <c r="F88" s="13"/>
      <c r="G88" s="13"/>
      <c r="H88" s="14" t="s">
        <v>360</v>
      </c>
      <c r="I88" s="14" t="s">
        <v>361</v>
      </c>
      <c r="J88" s="14"/>
      <c r="K88" s="16"/>
    </row>
    <row r="89" customFormat="false" ht="23.85" hidden="false" customHeight="false" outlineLevel="0" collapsed="false">
      <c r="A89" s="13" t="n">
        <v>88</v>
      </c>
      <c r="B89" s="14" t="s">
        <v>12</v>
      </c>
      <c r="C89" s="14" t="s">
        <v>354</v>
      </c>
      <c r="D89" s="15" t="s">
        <v>362</v>
      </c>
      <c r="E89" s="13" t="s">
        <v>17</v>
      </c>
      <c r="F89" s="13"/>
      <c r="G89" s="13"/>
      <c r="H89" s="14" t="s">
        <v>363</v>
      </c>
      <c r="I89" s="14" t="s">
        <v>364</v>
      </c>
      <c r="J89" s="14"/>
      <c r="K89" s="16"/>
    </row>
    <row r="90" customFormat="false" ht="23.85" hidden="false" customHeight="false" outlineLevel="0" collapsed="false">
      <c r="A90" s="13" t="n">
        <v>89</v>
      </c>
      <c r="B90" s="14" t="s">
        <v>12</v>
      </c>
      <c r="C90" s="14" t="s">
        <v>354</v>
      </c>
      <c r="D90" s="15" t="s">
        <v>365</v>
      </c>
      <c r="E90" s="13" t="s">
        <v>17</v>
      </c>
      <c r="F90" s="13"/>
      <c r="G90" s="13"/>
      <c r="H90" s="14" t="s">
        <v>366</v>
      </c>
      <c r="I90" s="14" t="s">
        <v>367</v>
      </c>
      <c r="J90" s="14"/>
      <c r="K90" s="16"/>
    </row>
    <row r="91" customFormat="false" ht="23.85" hidden="false" customHeight="false" outlineLevel="0" collapsed="false">
      <c r="A91" s="13" t="n">
        <v>90</v>
      </c>
      <c r="B91" s="14" t="s">
        <v>12</v>
      </c>
      <c r="C91" s="14" t="s">
        <v>354</v>
      </c>
      <c r="D91" s="15" t="s">
        <v>368</v>
      </c>
      <c r="E91" s="13" t="s">
        <v>17</v>
      </c>
      <c r="F91" s="13"/>
      <c r="G91" s="13"/>
      <c r="H91" s="14" t="s">
        <v>369</v>
      </c>
      <c r="I91" s="14" t="s">
        <v>370</v>
      </c>
      <c r="J91" s="14"/>
      <c r="K91" s="16"/>
    </row>
    <row r="92" customFormat="false" ht="23.85" hidden="false" customHeight="false" outlineLevel="0" collapsed="false">
      <c r="A92" s="13" t="n">
        <v>91</v>
      </c>
      <c r="B92" s="14" t="s">
        <v>12</v>
      </c>
      <c r="C92" s="14" t="s">
        <v>371</v>
      </c>
      <c r="D92" s="15" t="s">
        <v>372</v>
      </c>
      <c r="E92" s="13" t="s">
        <v>15</v>
      </c>
      <c r="F92" s="13"/>
      <c r="G92" s="13"/>
      <c r="H92" s="14" t="s">
        <v>373</v>
      </c>
      <c r="I92" s="14" t="s">
        <v>374</v>
      </c>
      <c r="J92" s="14" t="s">
        <v>375</v>
      </c>
      <c r="K92" s="16"/>
    </row>
    <row r="93" customFormat="false" ht="23.85" hidden="false" customHeight="false" outlineLevel="0" collapsed="false">
      <c r="A93" s="13" t="n">
        <v>92</v>
      </c>
      <c r="B93" s="14" t="s">
        <v>12</v>
      </c>
      <c r="C93" s="14" t="s">
        <v>371</v>
      </c>
      <c r="D93" s="15" t="s">
        <v>376</v>
      </c>
      <c r="E93" s="13" t="s">
        <v>15</v>
      </c>
      <c r="F93" s="13"/>
      <c r="G93" s="13"/>
      <c r="H93" s="14" t="s">
        <v>377</v>
      </c>
      <c r="I93" s="14" t="s">
        <v>378</v>
      </c>
      <c r="J93" s="14" t="s">
        <v>379</v>
      </c>
      <c r="K93" s="16"/>
    </row>
    <row r="94" customFormat="false" ht="23.85" hidden="false" customHeight="false" outlineLevel="0" collapsed="false">
      <c r="A94" s="13" t="n">
        <v>93</v>
      </c>
      <c r="B94" s="14" t="s">
        <v>12</v>
      </c>
      <c r="C94" s="14" t="s">
        <v>371</v>
      </c>
      <c r="D94" s="15" t="s">
        <v>380</v>
      </c>
      <c r="E94" s="13" t="s">
        <v>15</v>
      </c>
      <c r="F94" s="13"/>
      <c r="G94" s="13"/>
      <c r="H94" s="14" t="s">
        <v>381</v>
      </c>
      <c r="I94" s="14" t="s">
        <v>382</v>
      </c>
      <c r="J94" s="14" t="s">
        <v>383</v>
      </c>
      <c r="K94" s="16"/>
    </row>
    <row r="95" customFormat="false" ht="23.85" hidden="false" customHeight="false" outlineLevel="0" collapsed="false">
      <c r="A95" s="13" t="n">
        <v>94</v>
      </c>
      <c r="B95" s="14" t="s">
        <v>12</v>
      </c>
      <c r="C95" s="14" t="s">
        <v>371</v>
      </c>
      <c r="D95" s="15" t="s">
        <v>384</v>
      </c>
      <c r="E95" s="13" t="s">
        <v>15</v>
      </c>
      <c r="F95" s="13"/>
      <c r="G95" s="13"/>
      <c r="H95" s="14" t="s">
        <v>385</v>
      </c>
      <c r="I95" s="14" t="s">
        <v>386</v>
      </c>
      <c r="J95" s="14" t="s">
        <v>387</v>
      </c>
      <c r="K95" s="16"/>
    </row>
    <row r="96" customFormat="false" ht="23.85" hidden="false" customHeight="false" outlineLevel="0" collapsed="false">
      <c r="A96" s="13" t="n">
        <v>95</v>
      </c>
      <c r="B96" s="14" t="s">
        <v>12</v>
      </c>
      <c r="C96" s="14" t="s">
        <v>371</v>
      </c>
      <c r="D96" s="15" t="s">
        <v>388</v>
      </c>
      <c r="E96" s="13" t="s">
        <v>17</v>
      </c>
      <c r="F96" s="13"/>
      <c r="G96" s="13"/>
      <c r="H96" s="14" t="s">
        <v>389</v>
      </c>
      <c r="I96" s="14" t="s">
        <v>390</v>
      </c>
      <c r="J96" s="14"/>
      <c r="K96" s="16"/>
    </row>
    <row r="97" customFormat="false" ht="23.85" hidden="false" customHeight="false" outlineLevel="0" collapsed="false">
      <c r="A97" s="13" t="n">
        <v>96</v>
      </c>
      <c r="B97" s="14" t="s">
        <v>12</v>
      </c>
      <c r="C97" s="14" t="s">
        <v>371</v>
      </c>
      <c r="D97" s="15" t="s">
        <v>391</v>
      </c>
      <c r="E97" s="13" t="s">
        <v>17</v>
      </c>
      <c r="F97" s="13"/>
      <c r="G97" s="13"/>
      <c r="H97" s="14" t="s">
        <v>392</v>
      </c>
      <c r="I97" s="14" t="s">
        <v>393</v>
      </c>
      <c r="J97" s="14"/>
      <c r="K97" s="16"/>
    </row>
    <row r="98" customFormat="false" ht="23.85" hidden="false" customHeight="false" outlineLevel="0" collapsed="false">
      <c r="A98" s="13" t="n">
        <v>97</v>
      </c>
      <c r="B98" s="14" t="s">
        <v>12</v>
      </c>
      <c r="C98" s="14" t="s">
        <v>371</v>
      </c>
      <c r="D98" s="15" t="s">
        <v>394</v>
      </c>
      <c r="E98" s="13" t="s">
        <v>17</v>
      </c>
      <c r="F98" s="13"/>
      <c r="G98" s="13"/>
      <c r="H98" s="14" t="s">
        <v>395</v>
      </c>
      <c r="I98" s="14" t="s">
        <v>396</v>
      </c>
      <c r="J98" s="14"/>
      <c r="K98" s="16"/>
    </row>
    <row r="99" customFormat="false" ht="23.85" hidden="false" customHeight="false" outlineLevel="0" collapsed="false">
      <c r="A99" s="13" t="n">
        <v>98</v>
      </c>
      <c r="B99" s="14" t="s">
        <v>12</v>
      </c>
      <c r="C99" s="14" t="s">
        <v>397</v>
      </c>
      <c r="D99" s="15" t="s">
        <v>398</v>
      </c>
      <c r="E99" s="13" t="s">
        <v>17</v>
      </c>
      <c r="F99" s="13"/>
      <c r="G99" s="13"/>
      <c r="H99" s="14" t="s">
        <v>399</v>
      </c>
      <c r="I99" s="14" t="s">
        <v>400</v>
      </c>
      <c r="J99" s="14"/>
      <c r="K99" s="16"/>
    </row>
    <row r="100" customFormat="false" ht="23.85" hidden="false" customHeight="false" outlineLevel="0" collapsed="false">
      <c r="A100" s="13" t="n">
        <v>99</v>
      </c>
      <c r="B100" s="14" t="s">
        <v>12</v>
      </c>
      <c r="C100" s="14" t="s">
        <v>397</v>
      </c>
      <c r="D100" s="15" t="s">
        <v>401</v>
      </c>
      <c r="E100" s="13" t="s">
        <v>17</v>
      </c>
      <c r="F100" s="13"/>
      <c r="G100" s="13"/>
      <c r="H100" s="14" t="s">
        <v>402</v>
      </c>
      <c r="I100" s="14" t="s">
        <v>403</v>
      </c>
      <c r="J100" s="14" t="s">
        <v>404</v>
      </c>
      <c r="K100" s="16"/>
    </row>
    <row r="101" customFormat="false" ht="23.85" hidden="false" customHeight="false" outlineLevel="0" collapsed="false">
      <c r="A101" s="13" t="n">
        <v>100</v>
      </c>
      <c r="B101" s="14" t="s">
        <v>12</v>
      </c>
      <c r="C101" s="14" t="s">
        <v>397</v>
      </c>
      <c r="D101" s="15" t="s">
        <v>405</v>
      </c>
      <c r="E101" s="13" t="s">
        <v>15</v>
      </c>
      <c r="F101" s="13"/>
      <c r="G101" s="13"/>
      <c r="H101" s="14" t="s">
        <v>406</v>
      </c>
      <c r="I101" s="14" t="s">
        <v>407</v>
      </c>
      <c r="J101" s="14" t="s">
        <v>408</v>
      </c>
      <c r="K101" s="16"/>
    </row>
  </sheetData>
  <autoFilter ref="A1:K101"/>
  <conditionalFormatting sqref="E2:E101">
    <cfRule type="cellIs" priority="2" operator="equal" aboveAverage="0" equalAverage="0" bottom="0" percent="0" rank="0" text="" dxfId="8">
      <formula>"Ada"</formula>
    </cfRule>
    <cfRule type="cellIs" priority="3" operator="equal" aboveAverage="0" equalAverage="0" bottom="0" percent="0" rank="0" text="" dxfId="9">
      <formula>"Belum"</formula>
    </cfRule>
  </conditionalFormatting>
  <dataValidations count="2">
    <dataValidation allowBlank="false" errorStyle="stop" operator="between" showDropDown="false" showErrorMessage="false" showInputMessage="false" sqref="E2:E101" type="list">
      <formula1>"Ada,Belum,Sebagian"</formula1>
      <formula2>0</formula2>
    </dataValidation>
    <dataValidation allowBlank="true" errorStyle="stop" operator="between" showDropDown="false" showErrorMessage="false" showInputMessage="false" sqref="K2:K101" type="list">
      <formula1>"P1 - Quick win,P2 - Pembeda,P3 - Naik kelas,P4 - Skala"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7" t="s">
        <v>409</v>
      </c>
      <c r="B1" s="17" t="s">
        <v>410</v>
      </c>
    </row>
    <row r="2" customFormat="false" ht="23.85" hidden="false" customHeight="false" outlineLevel="0" collapsed="false">
      <c r="A2" s="15" t="s">
        <v>411</v>
      </c>
      <c r="B2" s="14" t="s">
        <v>412</v>
      </c>
    </row>
    <row r="3" customFormat="false" ht="23.85" hidden="false" customHeight="false" outlineLevel="0" collapsed="false">
      <c r="A3" s="15" t="s">
        <v>413</v>
      </c>
      <c r="B3" s="14" t="s">
        <v>414</v>
      </c>
    </row>
    <row r="4" customFormat="false" ht="23.85" hidden="false" customHeight="false" outlineLevel="0" collapsed="false">
      <c r="A4" s="15" t="s">
        <v>415</v>
      </c>
      <c r="B4" s="14" t="s">
        <v>416</v>
      </c>
    </row>
    <row r="5" customFormat="false" ht="15" hidden="false" customHeight="false" outlineLevel="0" collapsed="false">
      <c r="A5" s="15" t="s">
        <v>417</v>
      </c>
      <c r="B5" s="14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2026-10-13T03:33:49Z</dcterms:created>
  <dc:creator>openpyxl</dc:creator>
  <dc:description/>
  <dc:language>en-US</dc:language>
  <cp:lastModifiedBy/>
  <dcterms:modified xsi:type="dcterms:W3CDTF">2026-10-13T03:33:49Z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